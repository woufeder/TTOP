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02317\Downloads\"/>
    </mc:Choice>
  </mc:AlternateContent>
  <xr:revisionPtr revIDLastSave="0" documentId="13_ncr:1_{98469D9E-4AB3-4A84-BFE5-C1822B58F766}" xr6:coauthVersionLast="47" xr6:coauthVersionMax="47" xr10:uidLastSave="{00000000-0000-0000-0000-000000000000}"/>
  <bookViews>
    <workbookView xWindow="-14400" yWindow="7035" windowWidth="13710" windowHeight="8190" firstSheet="1" activeTab="8" xr2:uid="{00000000-000D-0000-FFFF-FFFF00000000}"/>
  </bookViews>
  <sheets>
    <sheet name="交通住宿" sheetId="1" r:id="rId1"/>
    <sheet name="1213" sheetId="4" r:id="rId2"/>
    <sheet name="18" sheetId="2" state="hidden" r:id="rId3"/>
    <sheet name="18 2.0 " sheetId="3" state="hidden" r:id="rId4"/>
    <sheet name="19" sheetId="5" r:id="rId5"/>
    <sheet name="110" sheetId="6" r:id="rId6"/>
    <sheet name="工作表10" sheetId="7" state="hidden" r:id="rId7"/>
    <sheet name="待買清單" sheetId="9" r:id="rId8"/>
    <sheet name="計算機" sheetId="10" r:id="rId9"/>
  </sheets>
  <definedNames>
    <definedName name="_xlnm._FilterDatabase" localSheetId="6" hidden="1">工作表10!$A$1:$A$35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0" l="1"/>
  <c r="H3" i="10"/>
  <c r="H9" i="10" l="1"/>
</calcChain>
</file>

<file path=xl/sharedStrings.xml><?xml version="1.0" encoding="utf-8"?>
<sst xmlns="http://schemas.openxmlformats.org/spreadsheetml/2006/main" count="317" uniqueCount="237">
  <si>
    <t>Day1　1/8(四)</t>
  </si>
  <si>
    <t>停留時間</t>
  </si>
  <si>
    <t>地點</t>
  </si>
  <si>
    <t>交通方式</t>
  </si>
  <si>
    <t>備註</t>
  </si>
  <si>
    <t>00:10~04:00</t>
  </si>
  <si>
    <t>桃園機場</t>
  </si>
  <si>
    <t>虎航 IT216 
(TPE→HND)</t>
  </si>
  <si>
    <t>出關估計1小時，最短20分鐘</t>
  </si>
  <si>
    <t>羽田機場</t>
  </si>
  <si>
    <t>05:00~06:00</t>
  </si>
  <si>
    <r>
      <rPr>
        <sz val="8"/>
        <color rgb="FF26326A"/>
        <rFont val="Kosugi"/>
      </rPr>
      <t>東京單軌電車|</t>
    </r>
    <r>
      <rPr>
        <sz val="8"/>
        <color rgb="FF434343"/>
        <rFont val="Kosugi"/>
      </rPr>
      <t xml:space="preserve">羽田機場第三航廈 </t>
    </r>
    <r>
      <rPr>
        <u/>
        <sz val="8"/>
        <color rgb="FF000000"/>
        <rFont val="Kosugi"/>
      </rPr>
      <t xml:space="preserve">→
</t>
    </r>
    <r>
      <rPr>
        <sz val="8"/>
        <color rgb="FF434343"/>
        <rFont val="Kosugi"/>
      </rPr>
      <t xml:space="preserve">流通中心 </t>
    </r>
    <r>
      <rPr>
        <u/>
        <sz val="8"/>
        <color rgb="FF000000"/>
        <rFont val="Kosugi"/>
      </rPr>
      <t>→</t>
    </r>
    <r>
      <rPr>
        <sz val="8"/>
        <color rgb="FF434343"/>
        <rFont val="Kosugi"/>
      </rPr>
      <t xml:space="preserve"> 歩行10min</t>
    </r>
  </si>
  <si>
    <t>單軌電車 ¥320</t>
  </si>
  <si>
    <t>天然温泉 平和島</t>
  </si>
  <si>
    <t>06:00~08:25</t>
  </si>
  <si>
    <r>
      <rPr>
        <sz val="8"/>
        <color rgb="FF000000"/>
        <rFont val="Kosugi"/>
      </rPr>
      <t>ワンコインバス|</t>
    </r>
    <r>
      <rPr>
        <u/>
        <sz val="8"/>
        <color rgb="FF000000"/>
        <rFont val="Kosugi"/>
      </rPr>
      <t>BIGFUN平和島</t>
    </r>
    <r>
      <rPr>
        <sz val="8"/>
        <color rgb="FF000000"/>
        <rFont val="Kosugi"/>
      </rPr>
      <t xml:space="preserve">(8:40) → 平和島駅(8:50)
</t>
    </r>
    <r>
      <rPr>
        <sz val="8"/>
        <color rgb="FF434343"/>
        <rFont val="Kosugi"/>
      </rPr>
      <t xml:space="preserve">
</t>
    </r>
    <r>
      <rPr>
        <sz val="8"/>
        <color rgb="FF19AACC"/>
        <rFont val="Kosugi"/>
      </rPr>
      <t>京急本線(三崎口へ)</t>
    </r>
    <r>
      <rPr>
        <sz val="8"/>
        <color rgb="FF000000"/>
        <rFont val="Kosugi"/>
      </rPr>
      <t xml:space="preserve">|平和島駅(9:07) → 京急川崎(9:13)
</t>
    </r>
    <r>
      <rPr>
        <u/>
        <sz val="8"/>
        <color rgb="FF000000"/>
        <rFont val="Kosugi"/>
      </rPr>
      <t>→歩行10min→</t>
    </r>
    <r>
      <rPr>
        <sz val="8"/>
        <color rgb="FF000000"/>
        <rFont val="Kosugi"/>
      </rPr>
      <t xml:space="preserve">
</t>
    </r>
    <r>
      <rPr>
        <sz val="8"/>
        <color rgb="FFD6A200"/>
        <rFont val="Kosugi"/>
      </rPr>
      <t>JR南武線(立川へ)</t>
    </r>
    <r>
      <rPr>
        <sz val="8"/>
        <color rgb="FF000000"/>
        <rFont val="Kosugi"/>
      </rPr>
      <t xml:space="preserve">|川崎(9:24) → </t>
    </r>
    <r>
      <rPr>
        <sz val="8"/>
        <color rgb="FF434343"/>
        <rFont val="Kosugi"/>
      </rPr>
      <t>登戸(9:52)</t>
    </r>
  </si>
  <si>
    <r>
      <rPr>
        <u/>
        <sz val="8"/>
        <color rgb="FF1F4788"/>
        <rFont val="Kosugi"/>
      </rPr>
      <t>接駁公車回程時刻表</t>
    </r>
    <r>
      <rPr>
        <sz val="8"/>
        <rFont val="Kosugi"/>
      </rPr>
      <t xml:space="preserve">，唐吉訶德方向2號大森駅的前面，必須搭8:40的接駁車(¥100)
平和島往京急川崎9:07/9:18發車(¥230)
川崎往登戶9:24/9:32發車(¥320)
登戶要記得放行李箱，在2F往生田綠地口改札前
</t>
    </r>
    <r>
      <rPr>
        <u/>
        <sz val="8"/>
        <color rgb="FF1F4788"/>
        <rFont val="Kosugi"/>
      </rPr>
      <t>置物櫃預約網站</t>
    </r>
  </si>
  <si>
    <t>08:25~09:52</t>
  </si>
  <si>
    <t>登戸站</t>
  </si>
  <si>
    <t>09:52~10:22</t>
  </si>
  <si>
    <t>博物館接駁車(10:12)</t>
  </si>
  <si>
    <r>
      <rPr>
        <u/>
        <sz val="8"/>
        <color rgb="FF2C4369"/>
        <rFont val="Kosugi"/>
      </rPr>
      <t>登戶博物館接駁車時刻表</t>
    </r>
    <r>
      <rPr>
        <sz val="8"/>
        <color rgb="FF2C4369"/>
        <rFont val="Kosugi"/>
      </rPr>
      <t xml:space="preserve"> </t>
    </r>
    <r>
      <rPr>
        <sz val="8"/>
        <color rgb="FF000000"/>
        <rFont val="Kosugi"/>
      </rPr>
      <t>(¥220)
10:12/10:23發車</t>
    </r>
  </si>
  <si>
    <t>藤子F不二雄博物館</t>
  </si>
  <si>
    <t>10:22~13:30</t>
  </si>
  <si>
    <t>指定時間内60分鐘需入場，用餐時間會等很久建議先去三樓餐廳抽整理券</t>
  </si>
  <si>
    <t>13:30~13:50</t>
  </si>
  <si>
    <t>歩行20min</t>
  </si>
  <si>
    <t>かわさき宙と緑の科学館</t>
  </si>
  <si>
    <t>13:50~16:00</t>
  </si>
  <si>
    <t>看體力要不要逛民家園
天文館15:00有天文投影(時長45min)，要付費¥400</t>
  </si>
  <si>
    <t>16:00~16:20</t>
  </si>
  <si>
    <t>16:35~17:15</t>
  </si>
  <si>
    <r>
      <rPr>
        <sz val="8"/>
        <color rgb="FFD6A200"/>
        <rFont val="Kosugi"/>
      </rPr>
      <t>JR南武線(川崎へ)</t>
    </r>
    <r>
      <rPr>
        <sz val="8"/>
        <color rgb="FF000000"/>
        <rFont val="Kosugi"/>
      </rPr>
      <t>|登戸(16:35) → 武蔵小杉</t>
    </r>
    <r>
      <rPr>
        <sz val="8"/>
        <color rgb="FF434343"/>
        <rFont val="Kosugi"/>
      </rPr>
      <t xml:space="preserve">(16:51)
</t>
    </r>
    <r>
      <rPr>
        <sz val="8"/>
        <color rgb="FFC90043"/>
        <rFont val="Kosugi"/>
      </rPr>
      <t>東急東橫線(清瀨へ)</t>
    </r>
    <r>
      <rPr>
        <sz val="8"/>
        <color rgb="FF434343"/>
        <rFont val="Kosugi"/>
      </rPr>
      <t xml:space="preserve">|武蔵小杉(16:58) → 佑天寺(17:11)
</t>
    </r>
    <r>
      <rPr>
        <sz val="8"/>
        <color rgb="FF000000"/>
        <rFont val="Kosugi"/>
      </rPr>
      <t xml:space="preserve">
</t>
    </r>
    <r>
      <rPr>
        <u/>
        <sz val="8"/>
        <color rgb="FF000000"/>
        <rFont val="Kosugi"/>
      </rPr>
      <t>→歩行4min</t>
    </r>
  </si>
  <si>
    <t>登戸記得拿行李
可以休息到六點</t>
  </si>
  <si>
    <t>東急STAY目黑．祐天寺</t>
  </si>
  <si>
    <t>18:00~18:20</t>
  </si>
  <si>
    <r>
      <rPr>
        <sz val="8"/>
        <color rgb="FF434343"/>
        <rFont val="Kosugi"/>
      </rPr>
      <t xml:space="preserve">歩行4min→
</t>
    </r>
    <r>
      <rPr>
        <sz val="8"/>
        <color rgb="FFC90043"/>
        <rFont val="Kosugi"/>
      </rPr>
      <t>東急東橫線(保谷へ)</t>
    </r>
    <r>
      <rPr>
        <sz val="8"/>
        <color rgb="FF434343"/>
        <rFont val="Kosugi"/>
      </rPr>
      <t>|佑天寺(18:04) → 澀谷(18:10)
→歩行10min</t>
    </r>
  </si>
  <si>
    <t>哆啦A夢 F’s Kitchen</t>
  </si>
  <si>
    <t>18:45~19:45</t>
  </si>
  <si>
    <t>大概預約18:45</t>
  </si>
  <si>
    <t>19:45~20:00</t>
  </si>
  <si>
    <t>澀谷PARCO
THE DORAEMON STORE</t>
  </si>
  <si>
    <t>05:00~05:30</t>
  </si>
  <si>
    <r>
      <rPr>
        <sz val="8"/>
        <color rgb="FF26326A"/>
        <rFont val="Kosugi"/>
      </rPr>
      <t>東京單軌電車|</t>
    </r>
    <r>
      <rPr>
        <sz val="8"/>
        <color rgb="FF434343"/>
        <rFont val="Kosugi"/>
      </rPr>
      <t xml:space="preserve">羽田機場第三航廈(5:09) </t>
    </r>
    <r>
      <rPr>
        <u/>
        <sz val="8"/>
        <color rgb="FF000000"/>
        <rFont val="Kosugi"/>
      </rPr>
      <t xml:space="preserve">→
</t>
    </r>
    <r>
      <rPr>
        <sz val="8"/>
        <color rgb="FF434343"/>
        <rFont val="Kosugi"/>
      </rPr>
      <t xml:space="preserve">流通中心(5:14) </t>
    </r>
    <r>
      <rPr>
        <u/>
        <sz val="8"/>
        <color rgb="FF000000"/>
        <rFont val="Kosugi"/>
      </rPr>
      <t>→</t>
    </r>
    <r>
      <rPr>
        <sz val="8"/>
        <color rgb="FF434343"/>
        <rFont val="Kosugi"/>
      </rPr>
      <t xml:space="preserve"> 歩行10min</t>
    </r>
  </si>
  <si>
    <t>05:30~07:30</t>
  </si>
  <si>
    <r>
      <rPr>
        <sz val="8"/>
        <color rgb="FF000000"/>
        <rFont val="Kosugi"/>
      </rPr>
      <t>ワンコインバス|</t>
    </r>
    <r>
      <rPr>
        <u/>
        <sz val="8"/>
        <color rgb="FF000000"/>
        <rFont val="Kosugi"/>
      </rPr>
      <t>BIGFUN平和島</t>
    </r>
    <r>
      <rPr>
        <sz val="8"/>
        <color rgb="FF000000"/>
        <rFont val="Kosugi"/>
      </rPr>
      <t xml:space="preserve">(8:00) → 平和島駅(8:10)
</t>
    </r>
    <r>
      <rPr>
        <sz val="8"/>
        <color rgb="FF434343"/>
        <rFont val="Kosugi"/>
      </rPr>
      <t xml:space="preserve">
</t>
    </r>
    <r>
      <rPr>
        <sz val="8"/>
        <color rgb="FF19AACC"/>
        <rFont val="Kosugi"/>
      </rPr>
      <t>京急本線(三崎口へ)</t>
    </r>
    <r>
      <rPr>
        <sz val="8"/>
        <color rgb="FF000000"/>
        <rFont val="Kosugi"/>
      </rPr>
      <t xml:space="preserve">|平和島駅(8:25) → 京急川崎(8:32)
</t>
    </r>
    <r>
      <rPr>
        <u/>
        <sz val="8"/>
        <color rgb="FF000000"/>
        <rFont val="Kosugi"/>
      </rPr>
      <t>→歩行10min→</t>
    </r>
    <r>
      <rPr>
        <sz val="8"/>
        <color rgb="FF000000"/>
        <rFont val="Kosugi"/>
      </rPr>
      <t xml:space="preserve">
</t>
    </r>
    <r>
      <rPr>
        <sz val="8"/>
        <color rgb="FFD6A200"/>
        <rFont val="Kosugi"/>
      </rPr>
      <t>JR南武線(立川へ)</t>
    </r>
    <r>
      <rPr>
        <sz val="8"/>
        <color rgb="FF000000"/>
        <rFont val="Kosugi"/>
      </rPr>
      <t xml:space="preserve">|川崎(8:45) → </t>
    </r>
    <r>
      <rPr>
        <sz val="8"/>
        <color rgb="FF434343"/>
        <rFont val="Kosugi"/>
      </rPr>
      <t>登戸(9:16)</t>
    </r>
  </si>
  <si>
    <r>
      <rPr>
        <u/>
        <sz val="8"/>
        <color rgb="FF1F4788"/>
        <rFont val="Kosugi"/>
      </rPr>
      <t>接駁公車回程時刻表</t>
    </r>
    <r>
      <rPr>
        <sz val="8"/>
        <rFont val="Kosugi"/>
      </rPr>
      <t xml:space="preserve">，唐吉訶德方向2號大森駅的前面，必須搭8:40的接駁車(¥100)
平和島往京急川崎8:25/8:36發車(¥230)
川崎往登戶8:45/8:56發車(¥320)
登戶要記得放行李箱，在2F往生田綠地口改札前
</t>
    </r>
    <r>
      <rPr>
        <u/>
        <sz val="8"/>
        <color rgb="FF1F4788"/>
        <rFont val="Kosugi"/>
      </rPr>
      <t>置物櫃預約網站</t>
    </r>
  </si>
  <si>
    <t>08:00~09:16</t>
  </si>
  <si>
    <t>09:16~09:38</t>
  </si>
  <si>
    <t>博物館接駁車(9:28)</t>
  </si>
  <si>
    <r>
      <rPr>
        <u/>
        <sz val="8"/>
        <color rgb="FF2C4369"/>
        <rFont val="Kosugi"/>
      </rPr>
      <t>登戶博物館接駁車時刻表</t>
    </r>
    <r>
      <rPr>
        <sz val="8"/>
        <color rgb="FF2C4369"/>
        <rFont val="Kosugi"/>
      </rPr>
      <t xml:space="preserve"> </t>
    </r>
    <r>
      <rPr>
        <sz val="8"/>
        <color rgb="FF000000"/>
        <rFont val="Kosugi"/>
      </rPr>
      <t>(¥220)
9:28/9:39發車</t>
    </r>
  </si>
  <si>
    <t>10:00~12:50</t>
  </si>
  <si>
    <t>指定時間内60分鐘需入場，用餐時間會等很久建議11點先去三樓餐廳抽整理券
門票¥1000</t>
  </si>
  <si>
    <t>12:50~13:10</t>
  </si>
  <si>
    <t>13:10~15:00</t>
  </si>
  <si>
    <t>看體力要不要逛民家園
天文館13:30有天文投影(時長45min)，要付費¥400</t>
  </si>
  <si>
    <t>15:00~15:20</t>
  </si>
  <si>
    <t>15:35~16:12</t>
  </si>
  <si>
    <r>
      <rPr>
        <sz val="8"/>
        <color rgb="FFD6A200"/>
        <rFont val="Kosugi"/>
      </rPr>
      <t>JR南武線(川崎へ)</t>
    </r>
    <r>
      <rPr>
        <sz val="8"/>
        <color rgb="FF000000"/>
        <rFont val="Kosugi"/>
      </rPr>
      <t>|登戸(16:35) → 武蔵小杉</t>
    </r>
    <r>
      <rPr>
        <sz val="8"/>
        <color rgb="FF434343"/>
        <rFont val="Kosugi"/>
      </rPr>
      <t xml:space="preserve">(16:51)
</t>
    </r>
    <r>
      <rPr>
        <sz val="8"/>
        <color rgb="FFC90043"/>
        <rFont val="Kosugi"/>
      </rPr>
      <t>東急東橫線(澀谷へ)</t>
    </r>
    <r>
      <rPr>
        <sz val="8"/>
        <color rgb="FF434343"/>
        <rFont val="Kosugi"/>
      </rPr>
      <t xml:space="preserve">|武蔵小杉(16:58) → 佑天寺(17:11)
</t>
    </r>
    <r>
      <rPr>
        <sz val="8"/>
        <color rgb="FF000000"/>
        <rFont val="Kosugi"/>
      </rPr>
      <t xml:space="preserve">
</t>
    </r>
    <r>
      <rPr>
        <u/>
        <sz val="8"/>
        <color rgb="FF000000"/>
        <rFont val="Kosugi"/>
      </rPr>
      <t>→歩行4min</t>
    </r>
  </si>
  <si>
    <t>登戸記得拿行李
可以休息到六點
¥410</t>
  </si>
  <si>
    <t>17:00~17:24</t>
  </si>
  <si>
    <r>
      <rPr>
        <sz val="8"/>
        <color rgb="FF434343"/>
        <rFont val="Kosugi"/>
      </rPr>
      <t xml:space="preserve">歩行4min→
</t>
    </r>
    <r>
      <rPr>
        <sz val="8"/>
        <color rgb="FFC90043"/>
        <rFont val="Kosugi"/>
      </rPr>
      <t>東急東橫線(澀谷へ)</t>
    </r>
    <r>
      <rPr>
        <sz val="8"/>
        <color rgb="FF434343"/>
        <rFont val="Kosugi"/>
      </rPr>
      <t>|佑天寺(16:58) → 澀谷(17:11)
→歩行10min</t>
    </r>
  </si>
  <si>
    <t>¥180</t>
  </si>
  <si>
    <t>17:24~18:45</t>
  </si>
  <si>
    <t>預約17:45，3樓有多啦a夢雕像</t>
  </si>
  <si>
    <t>18:45~19:00</t>
  </si>
  <si>
    <t>歩行10min</t>
  </si>
  <si>
    <t>19:00~21:00</t>
  </si>
  <si>
    <t>THE DORAEMON STORE在一樓</t>
  </si>
  <si>
    <t>21:00~21:20</t>
  </si>
  <si>
    <r>
      <rPr>
        <u/>
        <sz val="8"/>
        <color rgb="FF2C4369"/>
        <rFont val="Kosugi"/>
      </rPr>
      <t xml:space="preserve">歩行10min→
</t>
    </r>
    <r>
      <rPr>
        <sz val="8"/>
        <color rgb="FF434343"/>
        <rFont val="Kosugi"/>
      </rPr>
      <t xml:space="preserve">
</t>
    </r>
    <r>
      <rPr>
        <sz val="8"/>
        <color rgb="FFC90043"/>
        <rFont val="Kosugi"/>
      </rPr>
      <t>東急東橫線(橫濱へ)</t>
    </r>
    <r>
      <rPr>
        <sz val="8"/>
        <color rgb="FF434343"/>
        <rFont val="Kosugi"/>
      </rPr>
      <t>|佑天寺(21:10) → 澀谷(21:16)
→歩行4min</t>
    </r>
  </si>
  <si>
    <t>09:40~13:10</t>
  </si>
  <si>
    <t>MM024</t>
  </si>
  <si>
    <t>Day1　1/9(五)</t>
  </si>
  <si>
    <t>07:30~08:29</t>
  </si>
  <si>
    <r>
      <rPr>
        <sz val="8"/>
        <color rgb="FF000000"/>
        <rFont val="Kosugi"/>
      </rPr>
      <t xml:space="preserve">歩行4min→
</t>
    </r>
    <r>
      <rPr>
        <sz val="8"/>
        <color rgb="FFC90043"/>
        <rFont val="Kosugi"/>
      </rPr>
      <t>東急東橫線(澀谷へ)</t>
    </r>
    <r>
      <rPr>
        <sz val="8"/>
        <color rgb="FF434343"/>
        <rFont val="Kosugi"/>
      </rPr>
      <t xml:space="preserve">|佑天寺(7:37) → 澀谷(7:44)→
</t>
    </r>
    <r>
      <rPr>
        <sz val="8"/>
        <color rgb="FF945E2F"/>
        <rFont val="Kosugi"/>
      </rPr>
      <t>副都心線(和光市へ)</t>
    </r>
    <r>
      <rPr>
        <sz val="8"/>
        <color rgb="FF434343"/>
        <rFont val="Kosugi"/>
      </rPr>
      <t xml:space="preserve">|澀谷(7:44) → 池袋(8:04)
→站內換乘歩行10min
</t>
    </r>
    <r>
      <rPr>
        <sz val="8"/>
        <color rgb="FFE17A00"/>
        <rFont val="Kosugi"/>
      </rPr>
      <t xml:space="preserve">西武池袋線接豐島線(豐島園へ)
</t>
    </r>
    <r>
      <rPr>
        <sz val="8"/>
        <color rgb="FF434343"/>
        <rFont val="Kosugi"/>
      </rPr>
      <t>池袋(8:14) → 練馬(8:29)
→歩行7min</t>
    </r>
  </si>
  <si>
    <t>最後一個車廂下車最近，下車後馬上右轉往丸之內線的手扶梯往上，到頂直走，到丸之內線月台後繼續直走，往中央改札樓梯向上走，從右邊的改札出去。37號出口往上為西武池袋1F改札</t>
  </si>
  <si>
    <t>東京華納兄弟哈利波特影城</t>
  </si>
  <si>
    <t>08:30~15:30</t>
  </si>
  <si>
    <t>應該會待七個小時腳斷掉，在裡面吃完飯再出來
最好下午茶也吃一吃</t>
  </si>
  <si>
    <t>15:30~16:00</t>
  </si>
  <si>
    <r>
      <rPr>
        <sz val="8"/>
        <color rgb="FF000000"/>
        <rFont val="Kosugi"/>
      </rPr>
      <t xml:space="preserve">歩行7min→
</t>
    </r>
    <r>
      <rPr>
        <sz val="8"/>
        <color rgb="FF434343"/>
        <rFont val="Kosugi"/>
      </rPr>
      <t xml:space="preserve">
</t>
    </r>
    <r>
      <rPr>
        <sz val="8"/>
        <color rgb="FFE17A00"/>
        <rFont val="Kosugi"/>
      </rPr>
      <t>西武有樂町線(池袋へ)</t>
    </r>
    <r>
      <rPr>
        <sz val="8"/>
        <color rgb="FF434343"/>
        <rFont val="Kosugi"/>
      </rPr>
      <t>|豐島園(3:38) → 池袋(3:52)</t>
    </r>
  </si>
  <si>
    <t xml:space="preserve"> </t>
  </si>
  <si>
    <t>池袋</t>
  </si>
  <si>
    <t>16:00~19:00</t>
  </si>
  <si>
    <t>K-BOOKS 池袋推し活館</t>
  </si>
  <si>
    <t>推し活グッズ専門店 ジェイホビ研究所</t>
  </si>
  <si>
    <t>壓克力居多</t>
  </si>
  <si>
    <t>Yuzawaya WACCA池袋店</t>
  </si>
  <si>
    <t>Yuzawaya</t>
  </si>
  <si>
    <t>好像有娃娃素體</t>
  </si>
  <si>
    <t>リボンとパーツのお店 ISEKI</t>
  </si>
  <si>
    <t>DAISO 東武百貨店池袋本店</t>
  </si>
  <si>
    <t>DAISO Ikebukuro</t>
  </si>
  <si>
    <r>
      <rPr>
        <u/>
        <sz val="8"/>
        <color rgb="FF945E2F"/>
        <rFont val="Kosugi"/>
      </rPr>
      <t>副都心線(澀谷へ)</t>
    </r>
    <r>
      <rPr>
        <u/>
        <sz val="8"/>
        <color rgb="FF434343"/>
        <rFont val="Kosugi"/>
      </rPr>
      <t xml:space="preserve">|池袋 → 澀谷
</t>
    </r>
    <r>
      <rPr>
        <u/>
        <sz val="8"/>
        <color rgb="FFC90043"/>
        <rFont val="Kosugi"/>
      </rPr>
      <t>東急東橫線(元町、中華街へ)</t>
    </r>
    <r>
      <rPr>
        <u/>
        <sz val="8"/>
        <color rgb="FF434343"/>
        <rFont val="Kosugi"/>
      </rPr>
      <t>|澀谷 → 中目黑</t>
    </r>
  </si>
  <si>
    <t>19:00~19:40</t>
  </si>
  <si>
    <r>
      <rPr>
        <sz val="8"/>
        <color rgb="FF945E2F"/>
        <rFont val="Kosugi"/>
      </rPr>
      <t>副都心線(澀谷へ)</t>
    </r>
    <r>
      <rPr>
        <sz val="8"/>
        <color rgb="FF434343"/>
        <rFont val="Kosugi"/>
      </rPr>
      <t xml:space="preserve">|池袋(19:16) → 澀谷(19:28)
</t>
    </r>
    <r>
      <rPr>
        <sz val="8"/>
        <color rgb="FFC90043"/>
        <rFont val="Kosugi"/>
      </rPr>
      <t>東急東橫線(元町、中華街へ)</t>
    </r>
    <r>
      <rPr>
        <sz val="8"/>
        <color rgb="FF434343"/>
        <rFont val="Kosugi"/>
      </rPr>
      <t xml:space="preserve">|澀谷(19:32) → 佑天寺(19:38)
</t>
    </r>
    <r>
      <rPr>
        <sz val="8"/>
        <color theme="1"/>
        <rFont val="Kosugi"/>
      </rPr>
      <t>→歩行1min</t>
    </r>
  </si>
  <si>
    <t>紋壽司</t>
  </si>
  <si>
    <t>20:00~21:00</t>
  </si>
  <si>
    <t>先訂八點</t>
  </si>
  <si>
    <t>歩行2min</t>
  </si>
  <si>
    <t xml:space="preserve">   </t>
  </si>
  <si>
    <t>Day1　1/10(六)</t>
  </si>
  <si>
    <t>08:15~08:47</t>
  </si>
  <si>
    <r>
      <rPr>
        <sz val="8"/>
        <color rgb="FF000000"/>
        <rFont val="Kosugi"/>
      </rPr>
      <t xml:space="preserve">歩行4min→
</t>
    </r>
    <r>
      <rPr>
        <sz val="8"/>
        <color rgb="FFC90043"/>
        <rFont val="Kosugi"/>
      </rPr>
      <t>東急東橫線(池袋へ)</t>
    </r>
    <r>
      <rPr>
        <sz val="8"/>
        <color rgb="FF434343"/>
        <rFont val="Kosugi"/>
      </rPr>
      <t xml:space="preserve">|佑天寺(8:19) → 中目黑(8:21)→
</t>
    </r>
    <r>
      <rPr>
        <sz val="8"/>
        <color rgb="FF999999"/>
        <rFont val="Kosugi"/>
      </rPr>
      <t>日比谷線(北千住へ)</t>
    </r>
    <r>
      <rPr>
        <sz val="8"/>
        <color rgb="FF434343"/>
        <rFont val="Kosugi"/>
      </rPr>
      <t xml:space="preserve">|中目黑(8:23) → 銀座(8:42)→
</t>
    </r>
    <r>
      <rPr>
        <u/>
        <sz val="8"/>
        <color rgb="FF000000"/>
        <rFont val="Kosugi"/>
      </rPr>
      <t>→</t>
    </r>
    <r>
      <rPr>
        <sz val="8"/>
        <color rgb="FF434343"/>
        <rFont val="Kosugi"/>
      </rPr>
      <t>歩行5min</t>
    </r>
  </si>
  <si>
    <t>銀座站下車A9出口比較近
車資¥600</t>
  </si>
  <si>
    <t>銀座bills</t>
  </si>
  <si>
    <t>08:30~10:00</t>
  </si>
  <si>
    <t>在12樓，好餓啊</t>
  </si>
  <si>
    <t>歩行1min</t>
  </si>
  <si>
    <t>銀座 伊東屋 本店</t>
  </si>
  <si>
    <t>10:00~12:30</t>
  </si>
  <si>
    <t>有兩棟</t>
  </si>
  <si>
    <t>12:30~16:50</t>
  </si>
  <si>
    <t>12:40先抽號碼牌，如果超過170組或等待時間超過150分鐘，就直接去地下一樓的立食
等待組數少於60時也不要走太遠</t>
  </si>
  <si>
    <t>根室花丸</t>
  </si>
  <si>
    <t>走路7分鐘</t>
  </si>
  <si>
    <t>銀座無印</t>
  </si>
  <si>
    <t>16:50~17:15</t>
  </si>
  <si>
    <r>
      <rPr>
        <sz val="8"/>
        <color rgb="FF000000"/>
        <rFont val="Kosugi"/>
      </rPr>
      <t xml:space="preserve">歩行4min→
</t>
    </r>
    <r>
      <rPr>
        <sz val="8"/>
        <color rgb="FFE12937"/>
        <rFont val="Kosugi"/>
      </rPr>
      <t>丸之内線(荻漥へ)</t>
    </r>
    <r>
      <rPr>
        <sz val="8"/>
        <color rgb="FF000000"/>
        <rFont val="Kosugi"/>
      </rPr>
      <t xml:space="preserve">|銀座(17:00) → 國會議事堂前(17:03)→
</t>
    </r>
    <r>
      <rPr>
        <sz val="8"/>
        <color rgb="FF4CBC82"/>
        <rFont val="Kosugi"/>
      </rPr>
      <t>千代田線(代代木上原へ)</t>
    </r>
    <r>
      <rPr>
        <sz val="8"/>
        <color rgb="FF000000"/>
        <rFont val="Kosugi"/>
      </rPr>
      <t>|國會議事堂前(17:09) → 赤坂(17:10)</t>
    </r>
  </si>
  <si>
    <t>赤坂站</t>
  </si>
  <si>
    <r>
      <rPr>
        <sz val="8"/>
        <rFont val="Kosugi"/>
      </rPr>
      <t xml:space="preserve">如果買太多東西，赤坂站要先放行李
</t>
    </r>
    <r>
      <rPr>
        <u/>
        <sz val="8"/>
        <color rgb="FF1155CC"/>
        <rFont val="Kosugi"/>
      </rPr>
      <t>赤坂站行李現況查詢</t>
    </r>
  </si>
  <si>
    <t>17:15~17:18</t>
  </si>
  <si>
    <t>歩行3min</t>
  </si>
  <si>
    <t>TBS赤阪ACT劇場</t>
  </si>
  <si>
    <t>17:18~21:55</t>
  </si>
  <si>
    <t>舞台劇3小時40分鐘，一小時前可換票，40分鐘前可入場
要記得借字幕機</t>
  </si>
  <si>
    <t>22:11~23:05</t>
  </si>
  <si>
    <r>
      <rPr>
        <u/>
        <sz val="8"/>
        <color rgb="FF000000"/>
        <rFont val="Kosugi"/>
      </rPr>
      <t xml:space="preserve">歩行4min→
</t>
    </r>
    <r>
      <rPr>
        <u/>
        <sz val="8"/>
        <color rgb="FF4CBC82"/>
        <rFont val="Kosugi"/>
      </rPr>
      <t>千代田線(北綾瀨へ)</t>
    </r>
    <r>
      <rPr>
        <u/>
        <sz val="8"/>
        <color rgb="FF000000"/>
        <rFont val="Kosugi"/>
      </rPr>
      <t xml:space="preserve">|赤坂(22:15) → 日比谷(22:20)→
歩行3min→
</t>
    </r>
    <r>
      <rPr>
        <u/>
        <sz val="8"/>
        <color rgb="FF3172BD"/>
        <rFont val="Kosugi"/>
      </rPr>
      <t>三田線(日吉へ)</t>
    </r>
    <r>
      <rPr>
        <u/>
        <sz val="8"/>
        <color rgb="FF000000"/>
        <rFont val="Kosugi"/>
      </rPr>
      <t xml:space="preserve">|日比谷(22:25) → 三田(22:32)→
歩行3min→
</t>
    </r>
    <r>
      <rPr>
        <u/>
        <sz val="8"/>
        <color rgb="FFE46F70"/>
        <rFont val="Kosugi"/>
      </rPr>
      <t>淺草線(機場快特)</t>
    </r>
    <r>
      <rPr>
        <u/>
        <sz val="8"/>
        <color rgb="FF000000"/>
        <rFont val="Kosugi"/>
      </rPr>
      <t>|三田(22:38) → 羽田機場第３航廈(22:56)→
歩行9min</t>
    </r>
  </si>
  <si>
    <t>泉天空之湯</t>
  </si>
  <si>
    <t>23:05~03:10</t>
  </si>
  <si>
    <t>03:30</t>
  </si>
  <si>
    <t>JALABC出發櫃台</t>
  </si>
  <si>
    <t>領取行李箱</t>
  </si>
  <si>
    <t>05:00~7:55</t>
  </si>
  <si>
    <t>虎航 IT217
(HND→TPE)</t>
  </si>
  <si>
    <t>c081</t>
  </si>
  <si>
    <t>✅</t>
  </si>
  <si>
    <t>c036</t>
  </si>
  <si>
    <t>c041</t>
  </si>
  <si>
    <t>c045</t>
  </si>
  <si>
    <t>c048</t>
  </si>
  <si>
    <t>c080</t>
  </si>
  <si>
    <t>c083</t>
  </si>
  <si>
    <t>c201</t>
  </si>
  <si>
    <t>c207</t>
  </si>
  <si>
    <t>c210</t>
  </si>
  <si>
    <t>c214</t>
  </si>
  <si>
    <t>c215</t>
  </si>
  <si>
    <t>c303</t>
  </si>
  <si>
    <t>c304</t>
  </si>
  <si>
    <t>c307</t>
  </si>
  <si>
    <t>c308</t>
  </si>
  <si>
    <t>c311</t>
  </si>
  <si>
    <t>c313</t>
  </si>
  <si>
    <t>c315</t>
  </si>
  <si>
    <t>c317</t>
  </si>
  <si>
    <t>c406</t>
  </si>
  <si>
    <t>c408</t>
  </si>
  <si>
    <t>c409</t>
  </si>
  <si>
    <t>c416</t>
  </si>
  <si>
    <t>c419</t>
  </si>
  <si>
    <t>c420</t>
  </si>
  <si>
    <t>c501</t>
  </si>
  <si>
    <t>c502</t>
  </si>
  <si>
    <t>c503</t>
  </si>
  <si>
    <t>c504</t>
  </si>
  <si>
    <t>c701</t>
  </si>
  <si>
    <t>c706</t>
  </si>
  <si>
    <t>c813</t>
  </si>
  <si>
    <t>c815</t>
  </si>
  <si>
    <t>物品</t>
  </si>
  <si>
    <t>星巴克焦糖瑪奇朵沖泡包*3</t>
  </si>
  <si>
    <t>Deonatulle Soft Stone 消臭石</t>
  </si>
  <si>
    <t>吳竹眉筆</t>
  </si>
  <si>
    <t>沒找到</t>
  </si>
  <si>
    <t>吳竹眼線筆</t>
  </si>
  <si>
    <t>吳竹自來水筆</t>
  </si>
  <si>
    <t>金探子吊飾</t>
  </si>
  <si>
    <t>獾院娃娃</t>
  </si>
  <si>
    <t>迷你離子夾</t>
  </si>
  <si>
    <t>canmake睫毛膏</t>
  </si>
  <si>
    <t>台幣</t>
  </si>
  <si>
    <t>日幣</t>
  </si>
  <si>
    <t>台幣加總</t>
  </si>
  <si>
    <t>項目</t>
  </si>
  <si>
    <t>金額</t>
  </si>
  <si>
    <t>去程機票</t>
  </si>
  <si>
    <t>回程機票</t>
  </si>
  <si>
    <t>住宿</t>
  </si>
  <si>
    <t>日幣加總</t>
  </si>
  <si>
    <t>全部金額</t>
  </si>
  <si>
    <t>15:14~16:50</t>
    <phoneticPr fontId="52" type="noConversion"/>
  </si>
  <si>
    <t>去程HARUKA</t>
    <phoneticPr fontId="52" type="noConversion"/>
  </si>
  <si>
    <t>17:15~17:35</t>
    <phoneticPr fontId="52" type="noConversion"/>
  </si>
  <si>
    <r>
      <t>Day1</t>
    </r>
    <r>
      <rPr>
        <sz val="9"/>
        <color rgb="FF434343"/>
        <rFont val="細明體"/>
        <family val="3"/>
        <charset val="136"/>
      </rPr>
      <t>公車</t>
    </r>
  </si>
  <si>
    <t>¥680</t>
  </si>
  <si>
    <t>17:40~19:20</t>
    <phoneticPr fontId="52" type="noConversion"/>
  </si>
  <si>
    <t>高台寺+圓德院通票</t>
    <phoneticPr fontId="52" type="noConversion"/>
  </si>
  <si>
    <t>任天堂門票</t>
    <phoneticPr fontId="52" type="noConversion"/>
  </si>
  <si>
    <t>小火車</t>
    <phoneticPr fontId="52" type="noConversion"/>
  </si>
  <si>
    <t>遊船</t>
    <phoneticPr fontId="52" type="noConversion"/>
  </si>
  <si>
    <r>
      <t>Day1　</t>
    </r>
    <r>
      <rPr>
        <sz val="8"/>
        <color rgb="FFFFFFFF"/>
        <rFont val="Kosugi"/>
        <family val="2"/>
      </rPr>
      <t>12/13(</t>
    </r>
    <r>
      <rPr>
        <sz val="8"/>
        <color rgb="FFFFFFFF"/>
        <rFont val="Kosugi"/>
      </rPr>
      <t>日</t>
    </r>
    <r>
      <rPr>
        <sz val="8"/>
        <color rgb="FFFFFFFF"/>
        <rFont val="Kosugi"/>
        <family val="2"/>
      </rPr>
      <t>)</t>
    </r>
  </si>
  <si>
    <r>
      <rPr>
        <sz val="8"/>
        <color rgb="FF000000"/>
        <rFont val="Kosugi"/>
      </rPr>
      <t>停留時間</t>
    </r>
  </si>
  <si>
    <r>
      <rPr>
        <sz val="8"/>
        <color rgb="FF000000"/>
        <rFont val="Kosugi"/>
      </rPr>
      <t>地點</t>
    </r>
  </si>
  <si>
    <r>
      <rPr>
        <sz val="8"/>
        <color rgb="FF000000"/>
        <rFont val="Kosugi"/>
      </rPr>
      <t>交通方式</t>
    </r>
  </si>
  <si>
    <r>
      <rPr>
        <sz val="8"/>
        <color rgb="FF000000"/>
        <rFont val="Kosugi"/>
      </rPr>
      <t>備註</t>
    </r>
  </si>
  <si>
    <r>
      <rPr>
        <sz val="8"/>
        <color rgb="FF434343"/>
        <rFont val="Kosugi"/>
      </rPr>
      <t>桃園機場</t>
    </r>
    <r>
      <rPr>
        <sz val="8"/>
        <color rgb="FF434343"/>
        <rFont val="Kosugi"/>
        <family val="2"/>
      </rPr>
      <t>T1</t>
    </r>
  </si>
  <si>
    <r>
      <rPr>
        <sz val="8"/>
        <color theme="1"/>
        <rFont val="微軟正黑體"/>
        <family val="2"/>
        <charset val="136"/>
      </rPr>
      <t>出關估計</t>
    </r>
    <r>
      <rPr>
        <sz val="8"/>
        <color theme="1"/>
        <rFont val="Kosugi"/>
        <family val="2"/>
      </rPr>
      <t>2</t>
    </r>
    <r>
      <rPr>
        <sz val="8"/>
        <color theme="1"/>
        <rFont val="微軟正黑體"/>
        <family val="2"/>
        <charset val="136"/>
      </rPr>
      <t>小時，最短</t>
    </r>
    <r>
      <rPr>
        <sz val="8"/>
        <color theme="1"/>
        <rFont val="Kosugi"/>
        <family val="2"/>
      </rPr>
      <t>1</t>
    </r>
    <r>
      <rPr>
        <sz val="8"/>
        <color theme="1"/>
        <rFont val="微軟正黑體"/>
        <family val="2"/>
        <charset val="136"/>
      </rPr>
      <t>小時</t>
    </r>
    <phoneticPr fontId="52" type="noConversion"/>
  </si>
  <si>
    <r>
      <rPr>
        <sz val="8"/>
        <color rgb="FF434343"/>
        <rFont val="Kosugi"/>
      </rPr>
      <t>關西機場</t>
    </r>
    <r>
      <rPr>
        <sz val="8"/>
        <color rgb="FF434343"/>
        <rFont val="Kosugi"/>
        <family val="2"/>
      </rPr>
      <t>T2</t>
    </r>
  </si>
  <si>
    <r>
      <t xml:space="preserve">HARUKA 2200¥
</t>
    </r>
    <r>
      <rPr>
        <sz val="8"/>
        <color theme="1"/>
        <rFont val="微軟正黑體"/>
        <family val="2"/>
        <charset val="136"/>
      </rPr>
      <t>市營</t>
    </r>
    <r>
      <rPr>
        <sz val="8"/>
        <color theme="1"/>
        <rFont val="Kosugi"/>
        <family val="2"/>
      </rPr>
      <t xml:space="preserve"> 220¥
https://www.westjr.co.jp/travel-information/tc/tickets-passes/oneway/haruka/</t>
    </r>
    <phoneticPr fontId="52" type="noConversion"/>
  </si>
  <si>
    <r>
      <rPr>
        <sz val="8"/>
        <rFont val="微軟正黑體"/>
        <family val="2"/>
        <charset val="136"/>
      </rPr>
      <t>步行</t>
    </r>
    <r>
      <rPr>
        <sz val="8"/>
        <rFont val="Kosugi"/>
        <family val="2"/>
      </rPr>
      <t>6</t>
    </r>
    <r>
      <rPr>
        <sz val="8"/>
        <rFont val="微軟正黑體"/>
        <family val="2"/>
        <charset val="136"/>
      </rPr>
      <t xml:space="preserve">分鐘
</t>
    </r>
    <r>
      <rPr>
        <sz val="8"/>
        <rFont val="Microsoft JhengHei"/>
        <family val="2"/>
        <charset val="136"/>
      </rPr>
      <t>四條西洞院</t>
    </r>
    <r>
      <rPr>
        <sz val="8"/>
        <rFont val="Kosugi"/>
        <family val="2"/>
      </rPr>
      <t xml:space="preserve">(17:21) </t>
    </r>
    <r>
      <rPr>
        <sz val="8"/>
        <rFont val="Kosugi"/>
        <family val="2"/>
        <charset val="136"/>
      </rPr>
      <t>→</t>
    </r>
    <r>
      <rPr>
        <sz val="8"/>
        <rFont val="Kosugi"/>
        <family val="2"/>
      </rPr>
      <t xml:space="preserve"> </t>
    </r>
    <r>
      <rPr>
        <sz val="8"/>
        <rFont val="Microsoft JhengHei"/>
        <family val="2"/>
        <charset val="136"/>
      </rPr>
      <t>四條河原町</t>
    </r>
    <r>
      <rPr>
        <sz val="8"/>
        <rFont val="Kosugi"/>
        <family val="2"/>
      </rPr>
      <t>(17:29)</t>
    </r>
    <phoneticPr fontId="52" type="noConversion"/>
  </si>
  <si>
    <r>
      <t>3/32/207/201/46/12/203</t>
    </r>
    <r>
      <rPr>
        <sz val="8"/>
        <rFont val="Microsoft JhengHei"/>
        <family val="2"/>
        <charset val="136"/>
      </rPr>
      <t xml:space="preserve">公車都能搭
</t>
    </r>
    <r>
      <rPr>
        <sz val="8"/>
        <rFont val="Kosugi"/>
        <family val="2"/>
      </rPr>
      <t>230¥</t>
    </r>
    <phoneticPr fontId="52" type="noConversion"/>
  </si>
  <si>
    <r>
      <rPr>
        <sz val="8"/>
        <color theme="1"/>
        <rFont val="Kosugi"/>
      </rPr>
      <t>任天堂在</t>
    </r>
    <r>
      <rPr>
        <sz val="8"/>
        <color theme="1"/>
        <rFont val="Kosugi"/>
        <family val="2"/>
      </rPr>
      <t>7F</t>
    </r>
    <phoneticPr fontId="52" type="noConversion"/>
  </si>
  <si>
    <r>
      <t>morimori</t>
    </r>
    <r>
      <rPr>
        <sz val="8"/>
        <color rgb="FF434343"/>
        <rFont val="微軟正黑體"/>
        <family val="2"/>
        <charset val="136"/>
      </rPr>
      <t>壽司</t>
    </r>
    <phoneticPr fontId="52" type="noConversion"/>
  </si>
  <si>
    <r>
      <rPr>
        <sz val="8"/>
        <color theme="1"/>
        <rFont val="Kosugi"/>
      </rPr>
      <t>只收現金</t>
    </r>
    <phoneticPr fontId="52" type="noConversion"/>
  </si>
  <si>
    <r>
      <rPr>
        <sz val="8"/>
        <color rgb="FF000000"/>
        <rFont val="Microsoft JhengHei"/>
        <family val="2"/>
        <charset val="136"/>
      </rPr>
      <t>步行</t>
    </r>
    <r>
      <rPr>
        <sz val="8"/>
        <color rgb="FF000000"/>
        <rFont val="Kosugi"/>
        <family val="2"/>
      </rPr>
      <t>2</t>
    </r>
    <r>
      <rPr>
        <sz val="8"/>
        <color rgb="FF000000"/>
        <rFont val="Microsoft JhengHei"/>
        <family val="2"/>
        <charset val="136"/>
      </rPr>
      <t>分鐘</t>
    </r>
    <phoneticPr fontId="52" type="noConversion"/>
  </si>
  <si>
    <t>Life 四條烏丸</t>
    <phoneticPr fontId="52" type="noConversion"/>
  </si>
  <si>
    <r>
      <rPr>
        <sz val="8"/>
        <color rgb="FF000000"/>
        <rFont val="微軟正黑體"/>
        <family val="2"/>
        <charset val="136"/>
      </rPr>
      <t>高島屋</t>
    </r>
    <r>
      <rPr>
        <sz val="8"/>
        <color rgb="FF000000"/>
        <rFont val="Kosugi"/>
        <family val="2"/>
      </rPr>
      <t>SC T8</t>
    </r>
    <phoneticPr fontId="52" type="noConversion"/>
  </si>
  <si>
    <t>補貨</t>
    <phoneticPr fontId="52" type="noConversion"/>
  </si>
  <si>
    <t>19:20~19:25</t>
    <phoneticPr fontId="52" type="noConversion"/>
  </si>
  <si>
    <t>19:25~20:30</t>
    <phoneticPr fontId="52" type="noConversion"/>
  </si>
  <si>
    <r>
      <rPr>
        <sz val="8"/>
        <rFont val="微軟正黑體"/>
        <family val="2"/>
        <charset val="136"/>
      </rPr>
      <t>步行</t>
    </r>
    <r>
      <rPr>
        <sz val="8"/>
        <rFont val="Kosugi"/>
        <family val="2"/>
      </rPr>
      <t>3</t>
    </r>
    <r>
      <rPr>
        <sz val="8"/>
        <rFont val="微軟正黑體"/>
        <family val="2"/>
        <charset val="136"/>
      </rPr>
      <t>分鐘
四條河原町</t>
    </r>
    <r>
      <rPr>
        <sz val="8"/>
        <rFont val="Kosugi"/>
        <family val="2"/>
      </rPr>
      <t xml:space="preserve">(20:34) </t>
    </r>
    <r>
      <rPr>
        <sz val="8"/>
        <rFont val="Kosugi"/>
        <family val="2"/>
        <charset val="136"/>
      </rPr>
      <t>→</t>
    </r>
    <r>
      <rPr>
        <sz val="8"/>
        <rFont val="Kosugi"/>
        <family val="2"/>
      </rPr>
      <t xml:space="preserve">  </t>
    </r>
    <r>
      <rPr>
        <sz val="8"/>
        <rFont val="微軟正黑體"/>
        <family val="2"/>
        <charset val="136"/>
      </rPr>
      <t>四條西洞院</t>
    </r>
    <r>
      <rPr>
        <sz val="8"/>
        <rFont val="Kosugi"/>
        <family val="2"/>
      </rPr>
      <t xml:space="preserve">(20:40)
</t>
    </r>
    <r>
      <rPr>
        <sz val="8"/>
        <rFont val="微軟正黑體"/>
        <family val="2"/>
        <charset val="136"/>
      </rPr>
      <t>步行</t>
    </r>
    <r>
      <rPr>
        <sz val="8"/>
        <rFont val="Kosugi"/>
        <family val="2"/>
      </rPr>
      <t>3</t>
    </r>
    <r>
      <rPr>
        <sz val="8"/>
        <rFont val="微軟正黑體"/>
        <family val="2"/>
        <charset val="136"/>
      </rPr>
      <t>分鐘</t>
    </r>
    <phoneticPr fontId="52" type="noConversion"/>
  </si>
  <si>
    <t>20:45~21:15</t>
    <phoneticPr fontId="52" type="noConversion"/>
  </si>
  <si>
    <t>20:30~20:45</t>
    <phoneticPr fontId="52" type="noConversion"/>
  </si>
  <si>
    <t>21:15~21:20</t>
    <phoneticPr fontId="52" type="noConversion"/>
  </si>
  <si>
    <t>步行5分鐘</t>
    <phoneticPr fontId="52" type="noConversion"/>
  </si>
  <si>
    <r>
      <t xml:space="preserve">Stay Sakura </t>
    </r>
    <r>
      <rPr>
        <sz val="8"/>
        <color rgb="FF000000"/>
        <rFont val="微軟正黑體"/>
        <family val="2"/>
        <charset val="136"/>
      </rPr>
      <t>四條烏丸</t>
    </r>
    <phoneticPr fontId="52" type="noConversion"/>
  </si>
  <si>
    <t>Stay Sakura 四條烏丸</t>
    <phoneticPr fontId="52" type="noConversion"/>
  </si>
  <si>
    <r>
      <t>HARUKA|</t>
    </r>
    <r>
      <rPr>
        <sz val="8"/>
        <color rgb="FF000000"/>
        <rFont val="Noto Sans TC"/>
        <family val="2"/>
        <charset val="136"/>
      </rPr>
      <t>關西機場</t>
    </r>
    <r>
      <rPr>
        <sz val="8"/>
        <color rgb="FF000000"/>
        <rFont val="Kosugi"/>
        <family val="2"/>
      </rPr>
      <t xml:space="preserve">(15:14) </t>
    </r>
    <r>
      <rPr>
        <sz val="8"/>
        <color rgb="FF000000"/>
        <rFont val="Noto Sans TC"/>
        <family val="2"/>
        <charset val="136"/>
      </rPr>
      <t>→</t>
    </r>
    <r>
      <rPr>
        <sz val="8"/>
        <color rgb="FF000000"/>
        <rFont val="Kosugi"/>
        <family val="2"/>
      </rPr>
      <t xml:space="preserve"> </t>
    </r>
    <r>
      <rPr>
        <sz val="8"/>
        <color rgb="FF000000"/>
        <rFont val="Noto Sans TC"/>
        <family val="2"/>
        <charset val="136"/>
      </rPr>
      <t>京都</t>
    </r>
    <r>
      <rPr>
        <sz val="8"/>
        <color rgb="FF000000"/>
        <rFont val="Kosugi"/>
        <family val="2"/>
      </rPr>
      <t xml:space="preserve">(16:34)
</t>
    </r>
    <r>
      <rPr>
        <sz val="8"/>
        <color rgb="FF000000"/>
        <rFont val="Noto Sans TC"/>
        <family val="2"/>
        <charset val="136"/>
      </rPr>
      <t>市營烏丸線</t>
    </r>
    <r>
      <rPr>
        <sz val="8"/>
        <color rgb="FF000000"/>
        <rFont val="Kosugi"/>
        <family val="2"/>
      </rPr>
      <t>(</t>
    </r>
    <r>
      <rPr>
        <sz val="8"/>
        <color rgb="FF000000"/>
        <rFont val="Noto Sans TC"/>
        <family val="2"/>
        <charset val="136"/>
      </rPr>
      <t>國際會館へ</t>
    </r>
    <r>
      <rPr>
        <sz val="8"/>
        <color rgb="FF000000"/>
        <rFont val="Kosugi"/>
        <family val="2"/>
      </rPr>
      <t xml:space="preserve">)|
</t>
    </r>
    <r>
      <rPr>
        <sz val="8"/>
        <color rgb="FF000000"/>
        <rFont val="Noto Sans TC"/>
        <family val="2"/>
        <charset val="136"/>
      </rPr>
      <t>京都</t>
    </r>
    <r>
      <rPr>
        <sz val="8"/>
        <color rgb="FF000000"/>
        <rFont val="Kosugi"/>
        <family val="2"/>
      </rPr>
      <t xml:space="preserve">(16:44) </t>
    </r>
    <r>
      <rPr>
        <sz val="8"/>
        <color rgb="FF000000"/>
        <rFont val="Noto Sans TC"/>
        <family val="2"/>
        <charset val="136"/>
      </rPr>
      <t>→</t>
    </r>
    <r>
      <rPr>
        <sz val="8"/>
        <color rgb="FF000000"/>
        <rFont val="Kosugi"/>
        <family val="2"/>
      </rPr>
      <t xml:space="preserve"> </t>
    </r>
    <r>
      <rPr>
        <sz val="8"/>
        <color rgb="FF000000"/>
        <rFont val="Noto Sans TC"/>
        <family val="2"/>
        <charset val="136"/>
      </rPr>
      <t>四條</t>
    </r>
    <r>
      <rPr>
        <sz val="8"/>
        <color rgb="FF000000"/>
        <rFont val="Kosugi"/>
        <family val="2"/>
      </rPr>
      <t xml:space="preserve">(16:48)
</t>
    </r>
    <r>
      <rPr>
        <sz val="8"/>
        <color rgb="FF000000"/>
        <rFont val="Noto Sans TC"/>
        <family val="2"/>
        <charset val="136"/>
      </rPr>
      <t>步行</t>
    </r>
    <r>
      <rPr>
        <sz val="8"/>
        <color rgb="FF000000"/>
        <rFont val="Kosugi"/>
        <family val="2"/>
      </rPr>
      <t>10</t>
    </r>
    <r>
      <rPr>
        <sz val="8"/>
        <color rgb="FF000000"/>
        <rFont val="Noto Sans TC"/>
        <family val="2"/>
        <charset val="136"/>
      </rPr>
      <t>分鐘</t>
    </r>
    <phoneticPr fontId="52" type="noConversion"/>
  </si>
  <si>
    <t>隨心院門票</t>
    <phoneticPr fontId="52" type="noConversion"/>
  </si>
  <si>
    <t>下鴨神社水守</t>
    <phoneticPr fontId="52" type="noConversion"/>
  </si>
  <si>
    <t>御髮神社御守</t>
    <phoneticPr fontId="52" type="noConversion"/>
  </si>
  <si>
    <t>平等院御守</t>
    <phoneticPr fontId="52" type="noConversion"/>
  </si>
  <si>
    <t>梅宮神苑門票</t>
    <phoneticPr fontId="52" type="noConversion"/>
  </si>
  <si>
    <t>三千院門票</t>
    <phoneticPr fontId="52" type="noConversion"/>
  </si>
  <si>
    <t>松尾大社門票</t>
    <phoneticPr fontId="5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</si>
</sst>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¥]#,##0"/>
    <numFmt numFmtId="177" formatCode="[$$]#,##0"/>
  </numFmts>
  <fonts count="70">
    <font>
      <sz val="10"/>
      <color rgb="FF000000"/>
      <name val="Arial"/>
      <scheme val="minor"/>
    </font>
    <font>
      <sz val="11"/>
      <color theme="1"/>
      <name val="Microsoft JhengHei"/>
      <family val="2"/>
      <charset val="136"/>
    </font>
    <font>
      <sz val="10"/>
      <color theme="1"/>
      <name val="Kosugi"/>
    </font>
    <font>
      <sz val="12"/>
      <color rgb="FFFFFFFF"/>
      <name val="Kosugi"/>
    </font>
    <font>
      <sz val="10"/>
      <name val="Arial"/>
      <family val="2"/>
    </font>
    <font>
      <sz val="10"/>
      <color rgb="FF000000"/>
      <name val="Kosugi"/>
    </font>
    <font>
      <sz val="9"/>
      <color rgb="FF434343"/>
      <name val="Kosugi"/>
    </font>
    <font>
      <sz val="8"/>
      <color rgb="FF434343"/>
      <name val="Kosugi"/>
    </font>
    <font>
      <sz val="8"/>
      <color theme="1"/>
      <name val="Kosugi"/>
    </font>
    <font>
      <sz val="10"/>
      <color rgb="FF1F4788"/>
      <name val="Kosugi"/>
    </font>
    <font>
      <u/>
      <sz val="8"/>
      <color rgb="FF434343"/>
      <name val="Kosugi"/>
    </font>
    <font>
      <u/>
      <sz val="9"/>
      <color theme="1"/>
      <name val="Kosugi"/>
    </font>
    <font>
      <sz val="9"/>
      <color theme="1"/>
      <name val="Kosugi"/>
    </font>
    <font>
      <u/>
      <sz val="8"/>
      <color rgb="FF0000FF"/>
      <name val="Kosugi"/>
    </font>
    <font>
      <u/>
      <sz val="8"/>
      <color rgb="FF000000"/>
      <name val="Kosugi"/>
    </font>
    <font>
      <sz val="8"/>
      <color rgb="FF1F4788"/>
      <name val="Kosugi"/>
    </font>
    <font>
      <u/>
      <sz val="9"/>
      <color rgb="FF000000"/>
      <name val="Kosugi"/>
    </font>
    <font>
      <u/>
      <sz val="9"/>
      <color rgb="FF434343"/>
      <name val="Kosugi"/>
    </font>
    <font>
      <u/>
      <sz val="8"/>
      <color rgb="FF0000FF"/>
      <name val="Kosugi"/>
    </font>
    <font>
      <sz val="8"/>
      <color rgb="FF000000"/>
      <name val="Kosugi"/>
    </font>
    <font>
      <sz val="9"/>
      <color rgb="FF000000"/>
      <name val="Kosugi"/>
    </font>
    <font>
      <sz val="10"/>
      <color theme="1"/>
      <name val="Arial"/>
      <family val="2"/>
      <scheme val="minor"/>
    </font>
    <font>
      <u/>
      <sz val="9"/>
      <color rgb="FF434343"/>
      <name val="Kosugi"/>
    </font>
    <font>
      <u/>
      <sz val="9"/>
      <color rgb="FF434343"/>
      <name val="Kosugi"/>
    </font>
    <font>
      <u/>
      <sz val="8"/>
      <color rgb="FF000000"/>
      <name val="Kosugi"/>
    </font>
    <font>
      <u/>
      <sz val="9"/>
      <color rgb="FF434343"/>
      <name val="Kosugi"/>
    </font>
    <font>
      <u/>
      <sz val="9"/>
      <color rgb="FF434343"/>
      <name val="Kosugi"/>
    </font>
    <font>
      <u/>
      <sz val="8"/>
      <color rgb="FF434343"/>
      <name val="Kosugi"/>
    </font>
    <font>
      <u/>
      <sz val="8"/>
      <color rgb="FF0000FF"/>
      <name val="Kosugi"/>
    </font>
    <font>
      <sz val="10"/>
      <color theme="1"/>
      <name val="Arial"/>
      <family val="2"/>
    </font>
    <font>
      <b/>
      <sz val="18"/>
      <color theme="1"/>
      <name val="Microsoft JhengHei"/>
      <family val="2"/>
      <charset val="136"/>
    </font>
    <font>
      <sz val="12"/>
      <color theme="1"/>
      <name val="Kosugi"/>
    </font>
    <font>
      <sz val="14"/>
      <color rgb="FF000000"/>
      <name val="Kosugi"/>
    </font>
    <font>
      <sz val="8"/>
      <color rgb="FF26326A"/>
      <name val="Kosugi"/>
    </font>
    <font>
      <sz val="8"/>
      <color rgb="FF19AACC"/>
      <name val="Kosugi"/>
    </font>
    <font>
      <sz val="8"/>
      <color rgb="FFD6A200"/>
      <name val="Kosugi"/>
    </font>
    <font>
      <u/>
      <sz val="8"/>
      <color rgb="FF1F4788"/>
      <name val="Kosugi"/>
    </font>
    <font>
      <sz val="8"/>
      <name val="Kosugi"/>
    </font>
    <font>
      <u/>
      <sz val="8"/>
      <color rgb="FF2C4369"/>
      <name val="Kosugi"/>
    </font>
    <font>
      <sz val="8"/>
      <color rgb="FF2C4369"/>
      <name val="Kosugi"/>
    </font>
    <font>
      <sz val="8"/>
      <color rgb="FFC90043"/>
      <name val="Kosugi"/>
    </font>
    <font>
      <u/>
      <sz val="8"/>
      <color rgb="FF1155CC"/>
      <name val="Kosugi"/>
    </font>
    <font>
      <sz val="8"/>
      <color rgb="FF4CBC82"/>
      <name val="Kosugi"/>
    </font>
    <font>
      <sz val="8"/>
      <color rgb="FF945E2F"/>
      <name val="Kosugi"/>
    </font>
    <font>
      <sz val="8"/>
      <color rgb="FFE17A00"/>
      <name val="Kosugi"/>
    </font>
    <font>
      <u/>
      <sz val="8"/>
      <color rgb="FF945E2F"/>
      <name val="Kosugi"/>
    </font>
    <font>
      <u/>
      <sz val="8"/>
      <color rgb="FFC90043"/>
      <name val="Kosugi"/>
    </font>
    <font>
      <sz val="8"/>
      <color rgb="FF999999"/>
      <name val="Kosugi"/>
    </font>
    <font>
      <sz val="8"/>
      <color rgb="FFE12937"/>
      <name val="Kosugi"/>
    </font>
    <font>
      <u/>
      <sz val="8"/>
      <color rgb="FF4CBC82"/>
      <name val="Kosugi"/>
    </font>
    <font>
      <u/>
      <sz val="8"/>
      <color rgb="FF3172BD"/>
      <name val="Kosugi"/>
    </font>
    <font>
      <u/>
      <sz val="8"/>
      <color rgb="FFE46F70"/>
      <name val="Kosugi"/>
    </font>
    <font>
      <sz val="9"/>
      <name val="Arial"/>
      <family val="3"/>
      <charset val="136"/>
      <scheme val="minor"/>
    </font>
    <font>
      <sz val="8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sz val="8"/>
      <color rgb="FF000000"/>
      <name val="Kosugi"/>
      <family val="2"/>
    </font>
    <font>
      <sz val="8"/>
      <color rgb="FF000000"/>
      <name val="Noto Sans TC"/>
      <family val="2"/>
      <charset val="136"/>
    </font>
    <font>
      <sz val="8"/>
      <name val="Kosugi"/>
      <family val="2"/>
    </font>
    <font>
      <sz val="8"/>
      <color rgb="FFFFFFFF"/>
      <name val="Kosugi"/>
    </font>
    <font>
      <sz val="8"/>
      <name val="微軟正黑體"/>
      <family val="2"/>
      <charset val="136"/>
    </font>
    <font>
      <sz val="8"/>
      <name val="Microsoft JhengHei"/>
      <family val="2"/>
      <charset val="136"/>
    </font>
    <font>
      <sz val="8"/>
      <color rgb="FF434343"/>
      <name val="微軟正黑體"/>
      <family val="2"/>
      <charset val="136"/>
    </font>
    <font>
      <sz val="9"/>
      <color rgb="FF434343"/>
      <name val="細明體"/>
      <family val="3"/>
      <charset val="136"/>
    </font>
    <font>
      <sz val="10"/>
      <color theme="1"/>
      <name val="Microsoft JhengHei"/>
      <family val="2"/>
    </font>
    <font>
      <sz val="8"/>
      <name val="Kosugi"/>
      <family val="2"/>
      <charset val="136"/>
    </font>
    <font>
      <sz val="8"/>
      <color rgb="FFFFFFFF"/>
      <name val="Kosugi"/>
      <family val="2"/>
    </font>
    <font>
      <sz val="8"/>
      <color rgb="FF434343"/>
      <name val="Kosugi"/>
      <family val="2"/>
    </font>
    <font>
      <sz val="8"/>
      <color theme="1"/>
      <name val="Kosugi"/>
      <family val="2"/>
    </font>
    <font>
      <sz val="8"/>
      <color rgb="FF000000"/>
      <name val="Microsoft JhengHei"/>
      <family val="2"/>
      <charset val="136"/>
    </font>
    <font>
      <sz val="10"/>
      <color theme="1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2C4369"/>
        <bgColor rgb="FF2C4369"/>
      </patternFill>
    </fill>
    <fill>
      <patternFill patternType="solid">
        <fgColor rgb="FFC9DAF8"/>
        <bgColor rgb="FFC9DAF8"/>
      </patternFill>
    </fill>
    <fill>
      <patternFill patternType="solid">
        <fgColor rgb="FFE3EDFF"/>
        <bgColor rgb="FFE3EDFF"/>
      </patternFill>
    </fill>
  </fills>
  <borders count="72">
    <border>
      <left/>
      <right/>
      <top/>
      <bottom/>
      <diagonal/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  <diagonal/>
    </border>
    <border>
      <left/>
      <right style="double">
        <color rgb="FFFFFFFF"/>
      </right>
      <top style="double">
        <color rgb="FFFFFFFF"/>
      </top>
      <bottom style="double">
        <color rgb="FFFFFFFF"/>
      </bottom>
      <diagonal/>
    </border>
    <border>
      <left style="dotted">
        <color rgb="FFFFFFFF"/>
      </left>
      <right style="thin">
        <color rgb="FFFFFFFF"/>
      </right>
      <top style="dotted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dotted">
        <color rgb="FFFFFFFF"/>
      </left>
      <right/>
      <top style="dotted">
        <color rgb="FFFFFFFF"/>
      </top>
      <bottom/>
      <diagonal/>
    </border>
    <border>
      <left style="double">
        <color rgb="FFFFFFFF"/>
      </left>
      <right style="double">
        <color rgb="FFFFFFFF"/>
      </right>
      <top style="double">
        <color rgb="FFFFFFFF"/>
      </top>
      <bottom style="thin">
        <color rgb="FFFFFFFF"/>
      </bottom>
      <diagonal/>
    </border>
    <border>
      <left style="dotted">
        <color rgb="FFFFFFFF"/>
      </left>
      <right/>
      <top style="dotted">
        <color rgb="FFFFFFFF"/>
      </top>
      <bottom style="dotted">
        <color rgb="FFFFFFFF"/>
      </bottom>
      <diagonal/>
    </border>
    <border>
      <left style="double">
        <color rgb="FF1F4788"/>
      </left>
      <right/>
      <top style="double">
        <color rgb="FF1F4788"/>
      </top>
      <bottom/>
      <diagonal/>
    </border>
    <border>
      <left/>
      <right/>
      <top style="double">
        <color rgb="FF1F4788"/>
      </top>
      <bottom/>
      <diagonal/>
    </border>
    <border>
      <left/>
      <right style="double">
        <color rgb="FF1F4788"/>
      </right>
      <top style="double">
        <color rgb="FF1F4788"/>
      </top>
      <bottom/>
      <diagonal/>
    </border>
    <border>
      <left style="double">
        <color rgb="FFFFFFFF"/>
      </left>
      <right style="double">
        <color rgb="FFFFFFFF"/>
      </right>
      <top style="dotted">
        <color rgb="FFFFFFFF"/>
      </top>
      <bottom style="dotted">
        <color rgb="FFFFFFFF"/>
      </bottom>
      <diagonal/>
    </border>
    <border>
      <left style="double">
        <color rgb="FF1F4788"/>
      </left>
      <right style="dotted">
        <color rgb="FF2C4369"/>
      </right>
      <top style="double">
        <color rgb="FF1F4788"/>
      </top>
      <bottom style="dotted">
        <color rgb="FF2C4369"/>
      </bottom>
      <diagonal/>
    </border>
    <border>
      <left style="dotted">
        <color rgb="FF2C4369"/>
      </left>
      <right style="dotted">
        <color rgb="FF2C4369"/>
      </right>
      <top style="double">
        <color rgb="FF1F4788"/>
      </top>
      <bottom style="dotted">
        <color rgb="FF2C4369"/>
      </bottom>
      <diagonal/>
    </border>
    <border>
      <left style="dotted">
        <color rgb="FF2C4369"/>
      </left>
      <right style="double">
        <color rgb="FF1F4788"/>
      </right>
      <top style="double">
        <color rgb="FF1F4788"/>
      </top>
      <bottom style="dotted">
        <color rgb="FF2C4369"/>
      </bottom>
      <diagonal/>
    </border>
    <border>
      <left/>
      <right style="double">
        <color rgb="FFFFFFFF"/>
      </right>
      <top style="dotted">
        <color rgb="FFFFFFFF"/>
      </top>
      <bottom style="dotted">
        <color rgb="FFFFFFFF"/>
      </bottom>
      <diagonal/>
    </border>
    <border>
      <left style="double">
        <color rgb="FF1F4788"/>
      </left>
      <right style="dotted">
        <color rgb="FFCCCCCC"/>
      </right>
      <top/>
      <bottom/>
      <diagonal/>
    </border>
    <border>
      <left style="dotted">
        <color rgb="FFCCCCCC"/>
      </left>
      <right style="dotted">
        <color rgb="FFCCCCCC"/>
      </right>
      <top/>
      <bottom/>
      <diagonal/>
    </border>
    <border>
      <left style="dotted">
        <color rgb="FFCCCCCC"/>
      </left>
      <right style="double">
        <color rgb="FF1F4788"/>
      </right>
      <top style="dotted">
        <color rgb="FFCCCCCC"/>
      </top>
      <bottom/>
      <diagonal/>
    </border>
    <border>
      <left style="dotted">
        <color rgb="FFCCCCCC"/>
      </left>
      <right style="dotted">
        <color rgb="FFCCCCCC"/>
      </right>
      <top/>
      <bottom style="dotted">
        <color rgb="FFCCCCCC"/>
      </bottom>
      <diagonal/>
    </border>
    <border>
      <left style="dotted">
        <color rgb="FFCCCCCC"/>
      </left>
      <right style="double">
        <color rgb="FF1F4788"/>
      </right>
      <top/>
      <bottom/>
      <diagonal/>
    </border>
    <border>
      <left style="dotted">
        <color rgb="FFCCCCCC"/>
      </left>
      <right style="double">
        <color rgb="FF1F4788"/>
      </right>
      <top/>
      <bottom style="dotted">
        <color rgb="FFCCCCCC"/>
      </bottom>
      <diagonal/>
    </border>
    <border>
      <left style="double">
        <color rgb="FF1F4788"/>
      </left>
      <right style="dotted">
        <color rgb="FFCCCCCC"/>
      </right>
      <top style="dotted">
        <color rgb="FFCCCCCC"/>
      </top>
      <bottom/>
      <diagonal/>
    </border>
    <border>
      <left style="dotted">
        <color rgb="FFCCCCCC"/>
      </left>
      <right style="double">
        <color rgb="FF1F4788"/>
      </right>
      <top style="dotted">
        <color rgb="FFCCCCCC"/>
      </top>
      <bottom style="dotted">
        <color rgb="FFCCCCCC"/>
      </bottom>
      <diagonal/>
    </border>
    <border>
      <left style="double">
        <color rgb="FF1F4788"/>
      </left>
      <right style="dotted">
        <color rgb="FFCCCCCC"/>
      </right>
      <top/>
      <bottom style="dotted">
        <color rgb="FFCCCCCC"/>
      </bottom>
      <diagonal/>
    </border>
    <border>
      <left style="double">
        <color rgb="FF1F4788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 style="double">
        <color rgb="FF1F4788"/>
      </left>
      <right style="dotted">
        <color rgb="FFCCCCCC"/>
      </right>
      <top style="dotted">
        <color rgb="FFCCCCCC"/>
      </top>
      <bottom style="double">
        <color rgb="FF1F4788"/>
      </bottom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uble">
        <color rgb="FF1F4788"/>
      </bottom>
      <diagonal/>
    </border>
    <border>
      <left style="dotted">
        <color rgb="FFCCCCCC"/>
      </left>
      <right style="double">
        <color rgb="FF1F4788"/>
      </right>
      <top style="dotted">
        <color rgb="FFCCCCCC"/>
      </top>
      <bottom style="double">
        <color rgb="FF1F4788"/>
      </bottom>
      <diagonal/>
    </border>
    <border>
      <left style="dotted">
        <color rgb="FFFFFFFF"/>
      </left>
      <right style="thin">
        <color rgb="FFFFFFFF"/>
      </right>
      <top style="dotted">
        <color rgb="FFFFFFFF"/>
      </top>
      <bottom style="dotted">
        <color rgb="FFFFFFFF"/>
      </bottom>
      <diagonal/>
    </border>
    <border>
      <left style="dotted">
        <color rgb="FFFFFFFF"/>
      </left>
      <right/>
      <top/>
      <bottom style="dotted">
        <color rgb="FFFFFFFF"/>
      </bottom>
      <diagonal/>
    </border>
    <border>
      <left style="double">
        <color rgb="FFFFFFFF"/>
      </left>
      <right style="double">
        <color rgb="FFFFFFFF"/>
      </right>
      <top style="dotted">
        <color rgb="FFFFFFFF"/>
      </top>
      <bottom style="double">
        <color rgb="FFFFFFFF"/>
      </bottom>
      <diagonal/>
    </border>
    <border>
      <left style="double">
        <color rgb="FF1F4788"/>
      </left>
      <right style="dotted">
        <color rgb="FF2C4369"/>
      </right>
      <top style="double">
        <color rgb="FF1F4788"/>
      </top>
      <bottom/>
      <diagonal/>
    </border>
    <border>
      <left style="dotted">
        <color rgb="FF2C4369"/>
      </left>
      <right style="dotted">
        <color rgb="FF2C4369"/>
      </right>
      <top style="double">
        <color rgb="FF1F4788"/>
      </top>
      <bottom/>
      <diagonal/>
    </border>
    <border>
      <left style="dotted">
        <color rgb="FF2C4369"/>
      </left>
      <right style="double">
        <color rgb="FF1F4788"/>
      </right>
      <top style="double">
        <color rgb="FF1F4788"/>
      </top>
      <bottom/>
      <diagonal/>
    </border>
    <border>
      <left style="double">
        <color rgb="FF26326A"/>
      </left>
      <right style="dotted">
        <color rgb="FFCCCCCC"/>
      </right>
      <top style="double">
        <color rgb="FF26326A"/>
      </top>
      <bottom/>
      <diagonal/>
    </border>
    <border>
      <left style="dotted">
        <color rgb="FFCCCCCC"/>
      </left>
      <right style="dotted">
        <color rgb="FFCCCCCC"/>
      </right>
      <top style="double">
        <color rgb="FF26326A"/>
      </top>
      <bottom/>
      <diagonal/>
    </border>
    <border>
      <left style="dotted">
        <color rgb="FFCCCCCC"/>
      </left>
      <right style="double">
        <color rgb="FF26326A"/>
      </right>
      <top style="double">
        <color rgb="FF26326A"/>
      </top>
      <bottom/>
      <diagonal/>
    </border>
    <border>
      <left style="double">
        <color rgb="FF26326A"/>
      </left>
      <right style="dotted">
        <color rgb="FFCCCCCC"/>
      </right>
      <top/>
      <bottom/>
      <diagonal/>
    </border>
    <border>
      <left style="dotted">
        <color rgb="FFCCCCCC"/>
      </left>
      <right style="double">
        <color rgb="FF26326A"/>
      </right>
      <top/>
      <bottom/>
      <diagonal/>
    </border>
    <border>
      <left style="dotted">
        <color rgb="FFCCCCCC"/>
      </left>
      <right style="double">
        <color rgb="FF26326A"/>
      </right>
      <top/>
      <bottom style="dotted">
        <color rgb="FFCCCCCC"/>
      </bottom>
      <diagonal/>
    </border>
    <border>
      <left style="double">
        <color rgb="FF26326A"/>
      </left>
      <right style="dotted">
        <color rgb="FFCCCCCC"/>
      </right>
      <top style="dotted">
        <color rgb="FFCCCCCC"/>
      </top>
      <bottom/>
      <diagonal/>
    </border>
    <border>
      <left style="dotted">
        <color rgb="FFCCCCCC"/>
      </left>
      <right style="double">
        <color rgb="FF26326A"/>
      </right>
      <top style="dotted">
        <color rgb="FFCCCCCC"/>
      </top>
      <bottom/>
      <diagonal/>
    </border>
    <border>
      <left style="dotted">
        <color rgb="FFCCCCCC"/>
      </left>
      <right style="double">
        <color rgb="FF26326A"/>
      </right>
      <top style="dotted">
        <color rgb="FFCCCCCC"/>
      </top>
      <bottom style="dotted">
        <color rgb="FFCCCCCC"/>
      </bottom>
      <diagonal/>
    </border>
    <border>
      <left style="double">
        <color rgb="FF26326A"/>
      </left>
      <right style="dotted">
        <color rgb="FFCCCCCC"/>
      </right>
      <top/>
      <bottom style="dotted">
        <color rgb="FFCCCCCC"/>
      </bottom>
      <diagonal/>
    </border>
    <border>
      <left style="double">
        <color rgb="FF26326A"/>
      </left>
      <right style="dotted">
        <color rgb="FFCCCCCC"/>
      </right>
      <top/>
      <bottom style="double">
        <color rgb="FF26326A"/>
      </bottom>
      <diagonal/>
    </border>
    <border>
      <left style="dotted">
        <color rgb="FFCCCCCC"/>
      </left>
      <right style="dotted">
        <color rgb="FFCCCCCC"/>
      </right>
      <top/>
      <bottom style="double">
        <color rgb="FF26326A"/>
      </bottom>
      <diagonal/>
    </border>
    <border>
      <left style="dotted">
        <color rgb="FFCCCCCC"/>
      </left>
      <right style="double">
        <color rgb="FF26326A"/>
      </right>
      <top/>
      <bottom style="double">
        <color rgb="FF26326A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double">
        <color rgb="FFFFFFFF"/>
      </right>
      <top style="dotted">
        <color rgb="FFFFFFFF"/>
      </top>
      <bottom style="double">
        <color rgb="FFFFFFFF"/>
      </bottom>
      <diagonal/>
    </border>
    <border>
      <left style="dotted">
        <color rgb="FFCCCCCC"/>
      </left>
      <right style="dotted">
        <color rgb="FFCCCCCC"/>
      </right>
      <top/>
      <bottom style="dotted">
        <color rgb="FFD9D9D9"/>
      </bottom>
      <diagonal/>
    </border>
    <border>
      <left style="dotted">
        <color rgb="FFCCCCCC"/>
      </left>
      <right style="dotted">
        <color rgb="FFCCCCCC"/>
      </right>
      <top style="dotted">
        <color rgb="FFD9D9D9"/>
      </top>
      <bottom/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/>
      <diagonal/>
    </border>
    <border>
      <left style="dotted">
        <color rgb="FFCCCCCC"/>
      </left>
      <right style="dotted">
        <color rgb="FFCCCCCC"/>
      </right>
      <top/>
      <bottom style="double">
        <color rgb="FF2C4369"/>
      </bottom>
      <diagonal/>
    </border>
    <border>
      <left style="dotted">
        <color rgb="FFCCCCCC"/>
      </left>
      <right style="dotted">
        <color rgb="FFCCCCCC"/>
      </right>
      <top style="double">
        <color rgb="FF26326A"/>
      </top>
      <bottom style="dotted">
        <color rgb="FFCCCCCC"/>
      </bottom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 style="double">
        <color rgb="FF26326A"/>
      </left>
      <right style="dotted">
        <color rgb="FFCCCCCC"/>
      </right>
      <top style="dotted">
        <color rgb="FFCCCCCC"/>
      </top>
      <bottom style="double">
        <color rgb="FF26326A"/>
      </bottom>
      <diagonal/>
    </border>
    <border>
      <left style="dotted">
        <color rgb="FFCCCCCC"/>
      </left>
      <right style="double">
        <color rgb="FF26326A"/>
      </right>
      <top style="dotted">
        <color rgb="FFCCCCCC"/>
      </top>
      <bottom style="double">
        <color rgb="FF26326A"/>
      </bottom>
      <diagonal/>
    </border>
    <border>
      <left style="double">
        <color rgb="FFFFFFFF"/>
      </left>
      <right/>
      <top style="double">
        <color rgb="FFFFFFFF"/>
      </top>
      <bottom style="double">
        <color rgb="FFFFFFFF"/>
      </bottom>
      <diagonal/>
    </border>
    <border>
      <left style="double">
        <color rgb="FFFFFFFF"/>
      </left>
      <right style="double">
        <color rgb="FFFFFFFF"/>
      </right>
      <top style="double">
        <color rgb="FFFFFFFF"/>
      </top>
      <bottom/>
      <diagonal/>
    </border>
    <border>
      <left style="double">
        <color rgb="FFFFFFFF"/>
      </left>
      <right style="double">
        <color rgb="FFFFFFFF"/>
      </right>
      <top/>
      <bottom style="double">
        <color rgb="FFFFFFFF"/>
      </bottom>
      <diagonal/>
    </border>
    <border>
      <left style="double">
        <color rgb="FF26326A"/>
      </left>
      <right style="hair">
        <color rgb="FFCCCCCC"/>
      </right>
      <top style="double">
        <color rgb="FF26326A"/>
      </top>
      <bottom style="hair">
        <color rgb="FFCCCCCC"/>
      </bottom>
      <diagonal/>
    </border>
    <border>
      <left style="hair">
        <color rgb="FFCCCCCC"/>
      </left>
      <right style="double">
        <color rgb="FF26326A"/>
      </right>
      <top style="double">
        <color rgb="FF26326A"/>
      </top>
      <bottom style="hair">
        <color rgb="FFCCCCCC"/>
      </bottom>
      <diagonal/>
    </border>
    <border>
      <left style="double">
        <color rgb="FF26326A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double">
        <color rgb="FF26326A"/>
      </right>
      <top style="hair">
        <color rgb="FFCCCCCC"/>
      </top>
      <bottom style="hair">
        <color rgb="FFCCCCCC"/>
      </bottom>
      <diagonal/>
    </border>
    <border>
      <left style="double">
        <color rgb="FF26326A"/>
      </left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 style="double">
        <color rgb="FF26326A"/>
      </right>
      <top style="hair">
        <color rgb="FFCCCCCC"/>
      </top>
      <bottom/>
      <diagonal/>
    </border>
    <border>
      <left style="double">
        <color rgb="FF26326A"/>
      </left>
      <right style="hair">
        <color rgb="FFCCCCCC"/>
      </right>
      <top style="hair">
        <color rgb="FFCCCCCC"/>
      </top>
      <bottom style="double">
        <color rgb="FF26326A"/>
      </bottom>
      <diagonal/>
    </border>
    <border>
      <left style="hair">
        <color rgb="FFCCCCCC"/>
      </left>
      <right style="double">
        <color rgb="FF26326A"/>
      </right>
      <top style="hair">
        <color rgb="FFCCCCCC"/>
      </top>
      <bottom style="double">
        <color rgb="FF26326A"/>
      </bottom>
      <diagonal/>
    </border>
    <border>
      <left style="thin">
        <color rgb="FF2C4369"/>
      </left>
      <right style="thin">
        <color rgb="FF2C4369"/>
      </right>
      <top style="thin">
        <color rgb="FF2C4369"/>
      </top>
      <bottom style="thin">
        <color rgb="FF2C4369"/>
      </bottom>
      <diagonal/>
    </border>
    <border>
      <left/>
      <right/>
      <top style="double">
        <color rgb="FFFFFFFF"/>
      </top>
      <bottom style="double">
        <color rgb="FFFFFFFF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12" fillId="4" borderId="17" xfId="0" applyFont="1" applyFill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 wrapText="1"/>
    </xf>
    <xf numFmtId="0" fontId="12" fillId="4" borderId="39" xfId="0" applyFont="1" applyFill="1" applyBorder="1" applyAlignment="1">
      <alignment horizontal="left" vertical="center" wrapText="1"/>
    </xf>
    <xf numFmtId="0" fontId="8" fillId="0" borderId="44" xfId="0" applyFont="1" applyBorder="1" applyAlignment="1">
      <alignment horizontal="left" vertical="center" wrapText="1"/>
    </xf>
    <xf numFmtId="0" fontId="2" fillId="0" borderId="49" xfId="0" applyFont="1" applyBorder="1" applyAlignment="1">
      <alignment vertical="center"/>
    </xf>
    <xf numFmtId="0" fontId="2" fillId="0" borderId="49" xfId="0" applyFont="1" applyBorder="1" applyAlignment="1">
      <alignment horizontal="left" vertical="center"/>
    </xf>
    <xf numFmtId="0" fontId="2" fillId="0" borderId="50" xfId="0" applyFont="1" applyBorder="1" applyAlignment="1">
      <alignment horizontal="left" vertical="center"/>
    </xf>
    <xf numFmtId="0" fontId="19" fillId="0" borderId="20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left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20" fillId="4" borderId="39" xfId="0" applyFont="1" applyFill="1" applyBorder="1" applyAlignment="1">
      <alignment horizontal="left" vertical="center" wrapText="1"/>
    </xf>
    <xf numFmtId="0" fontId="22" fillId="0" borderId="20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20" fontId="20" fillId="0" borderId="39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49" fontId="20" fillId="0" borderId="42" xfId="0" applyNumberFormat="1" applyFont="1" applyBorder="1" applyAlignment="1">
      <alignment horizontal="center" vertical="center" wrapText="1"/>
    </xf>
    <xf numFmtId="49" fontId="20" fillId="0" borderId="57" xfId="0" applyNumberFormat="1" applyFont="1" applyBorder="1" applyAlignment="1">
      <alignment horizontal="left" vertical="center" wrapText="1"/>
    </xf>
    <xf numFmtId="0" fontId="7" fillId="0" borderId="47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left" vertical="center" wrapText="1"/>
    </xf>
    <xf numFmtId="0" fontId="21" fillId="0" borderId="0" xfId="0" applyFont="1"/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0" fontId="6" fillId="0" borderId="62" xfId="0" applyFont="1" applyBorder="1" applyAlignment="1">
      <alignment wrapText="1"/>
    </xf>
    <xf numFmtId="0" fontId="8" fillId="0" borderId="63" xfId="0" applyFont="1" applyBorder="1"/>
    <xf numFmtId="0" fontId="6" fillId="0" borderId="64" xfId="0" applyFont="1" applyBorder="1" applyAlignment="1">
      <alignment wrapText="1"/>
    </xf>
    <xf numFmtId="0" fontId="8" fillId="0" borderId="65" xfId="0" applyFont="1" applyBorder="1"/>
    <xf numFmtId="0" fontId="29" fillId="0" borderId="64" xfId="0" applyFont="1" applyBorder="1"/>
    <xf numFmtId="0" fontId="8" fillId="0" borderId="65" xfId="0" applyFont="1" applyBorder="1" applyAlignment="1">
      <alignment wrapText="1"/>
    </xf>
    <xf numFmtId="0" fontId="29" fillId="0" borderId="66" xfId="0" applyFont="1" applyBorder="1"/>
    <xf numFmtId="0" fontId="8" fillId="0" borderId="67" xfId="0" applyFont="1" applyBorder="1" applyAlignment="1">
      <alignment wrapText="1"/>
    </xf>
    <xf numFmtId="0" fontId="29" fillId="0" borderId="68" xfId="0" applyFont="1" applyBorder="1"/>
    <xf numFmtId="0" fontId="8" fillId="0" borderId="69" xfId="0" applyFont="1" applyBorder="1" applyAlignment="1">
      <alignment wrapText="1"/>
    </xf>
    <xf numFmtId="176" fontId="1" fillId="0" borderId="1" xfId="0" applyNumberFormat="1" applyFont="1" applyBorder="1"/>
    <xf numFmtId="0" fontId="30" fillId="0" borderId="1" xfId="0" applyFont="1" applyBorder="1"/>
    <xf numFmtId="177" fontId="31" fillId="0" borderId="70" xfId="0" applyNumberFormat="1" applyFont="1" applyBorder="1"/>
    <xf numFmtId="177" fontId="8" fillId="0" borderId="63" xfId="0" applyNumberFormat="1" applyFont="1" applyBorder="1"/>
    <xf numFmtId="176" fontId="8" fillId="0" borderId="63" xfId="0" applyNumberFormat="1" applyFont="1" applyBorder="1"/>
    <xf numFmtId="177" fontId="8" fillId="0" borderId="65" xfId="0" applyNumberFormat="1" applyFont="1" applyBorder="1"/>
    <xf numFmtId="176" fontId="8" fillId="0" borderId="65" xfId="0" applyNumberFormat="1" applyFont="1" applyBorder="1"/>
    <xf numFmtId="0" fontId="1" fillId="0" borderId="71" xfId="0" applyFont="1" applyBorder="1"/>
    <xf numFmtId="176" fontId="31" fillId="0" borderId="70" xfId="0" applyNumberFormat="1" applyFont="1" applyBorder="1"/>
    <xf numFmtId="177" fontId="32" fillId="3" borderId="70" xfId="0" applyNumberFormat="1" applyFont="1" applyFill="1" applyBorder="1" applyAlignment="1">
      <alignment horizontal="center" vertical="center"/>
    </xf>
    <xf numFmtId="177" fontId="8" fillId="0" borderId="65" xfId="0" applyNumberFormat="1" applyFont="1" applyBorder="1" applyAlignment="1">
      <alignment wrapText="1"/>
    </xf>
    <xf numFmtId="176" fontId="8" fillId="0" borderId="65" xfId="0" applyNumberFormat="1" applyFont="1" applyBorder="1" applyAlignment="1">
      <alignment wrapText="1"/>
    </xf>
    <xf numFmtId="177" fontId="8" fillId="0" borderId="67" xfId="0" applyNumberFormat="1" applyFont="1" applyBorder="1" applyAlignment="1">
      <alignment wrapText="1"/>
    </xf>
    <xf numFmtId="176" fontId="8" fillId="0" borderId="67" xfId="0" applyNumberFormat="1" applyFont="1" applyBorder="1" applyAlignment="1">
      <alignment wrapText="1"/>
    </xf>
    <xf numFmtId="177" fontId="8" fillId="0" borderId="69" xfId="0" applyNumberFormat="1" applyFont="1" applyBorder="1" applyAlignment="1">
      <alignment wrapText="1"/>
    </xf>
    <xf numFmtId="176" fontId="8" fillId="0" borderId="69" xfId="0" applyNumberFormat="1" applyFont="1" applyBorder="1" applyAlignment="1">
      <alignment wrapText="1"/>
    </xf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5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center" vertical="center" wrapText="1"/>
    </xf>
    <xf numFmtId="0" fontId="61" fillId="0" borderId="52" xfId="0" applyFont="1" applyBorder="1" applyAlignment="1">
      <alignment horizontal="center" vertical="center" wrapText="1"/>
    </xf>
    <xf numFmtId="0" fontId="57" fillId="0" borderId="41" xfId="0" applyFont="1" applyBorder="1"/>
    <xf numFmtId="0" fontId="19" fillId="0" borderId="18" xfId="0" applyFont="1" applyBorder="1" applyAlignment="1">
      <alignment horizontal="center" vertical="center" wrapText="1"/>
    </xf>
    <xf numFmtId="0" fontId="57" fillId="0" borderId="20" xfId="0" applyFont="1" applyBorder="1" applyAlignment="1">
      <alignment horizontal="center" vertical="center"/>
    </xf>
    <xf numFmtId="0" fontId="58" fillId="2" borderId="9" xfId="0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 wrapText="1"/>
    </xf>
    <xf numFmtId="0" fontId="4" fillId="0" borderId="25" xfId="0" applyFont="1" applyBorder="1"/>
    <xf numFmtId="0" fontId="4" fillId="0" borderId="20" xfId="0" applyFont="1" applyBorder="1"/>
    <xf numFmtId="0" fontId="8" fillId="0" borderId="19" xfId="0" applyFont="1" applyBorder="1" applyAlignment="1">
      <alignment horizontal="left" vertical="center" wrapText="1"/>
    </xf>
    <xf numFmtId="0" fontId="4" fillId="0" borderId="21" xfId="0" applyFont="1" applyBorder="1"/>
    <xf numFmtId="0" fontId="6" fillId="0" borderId="18" xfId="0" applyFont="1" applyBorder="1" applyAlignment="1">
      <alignment horizontal="center" vertical="center" wrapText="1"/>
    </xf>
    <xf numFmtId="0" fontId="4" fillId="0" borderId="18" xfId="0" applyFont="1" applyBorder="1"/>
    <xf numFmtId="0" fontId="4" fillId="0" borderId="17" xfId="0" applyFont="1" applyBorder="1"/>
    <xf numFmtId="0" fontId="15" fillId="0" borderId="19" xfId="0" applyFont="1" applyBorder="1" applyAlignment="1">
      <alignment horizontal="left" vertical="center"/>
    </xf>
    <xf numFmtId="0" fontId="4" fillId="0" borderId="22" xfId="0" applyFont="1" applyBorder="1"/>
    <xf numFmtId="0" fontId="11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6" fillId="0" borderId="17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 wrapText="1"/>
    </xf>
    <xf numFmtId="0" fontId="4" fillId="0" borderId="47" xfId="0" applyFont="1" applyBorder="1"/>
    <xf numFmtId="0" fontId="4" fillId="0" borderId="40" xfId="0" applyFont="1" applyBorder="1"/>
    <xf numFmtId="0" fontId="4" fillId="0" borderId="48" xfId="0" applyFont="1" applyBorder="1"/>
    <xf numFmtId="0" fontId="17" fillId="0" borderId="18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left" vertical="center" wrapText="1"/>
    </xf>
    <xf numFmtId="0" fontId="4" fillId="0" borderId="45" xfId="0" applyFont="1" applyBorder="1"/>
    <xf numFmtId="0" fontId="4" fillId="0" borderId="39" xfId="0" applyFont="1" applyBorder="1"/>
    <xf numFmtId="0" fontId="4" fillId="0" borderId="46" xfId="0" applyFont="1" applyBorder="1"/>
    <xf numFmtId="0" fontId="4" fillId="0" borderId="41" xfId="0" applyFont="1" applyBorder="1"/>
    <xf numFmtId="0" fontId="6" fillId="0" borderId="36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left" vertical="center"/>
    </xf>
    <xf numFmtId="0" fontId="18" fillId="0" borderId="43" xfId="0" applyFont="1" applyBorder="1" applyAlignment="1">
      <alignment horizontal="left" vertical="center" wrapText="1"/>
    </xf>
    <xf numFmtId="0" fontId="20" fillId="0" borderId="39" xfId="0" applyFont="1" applyBorder="1" applyAlignment="1">
      <alignment horizontal="left" vertical="center" wrapText="1"/>
    </xf>
    <xf numFmtId="20" fontId="20" fillId="0" borderId="42" xfId="0" applyNumberFormat="1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4" borderId="39" xfId="0" applyFont="1" applyFill="1" applyBorder="1" applyAlignment="1">
      <alignment horizontal="left" vertical="center" wrapText="1"/>
    </xf>
    <xf numFmtId="0" fontId="20" fillId="0" borderId="36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20" fillId="0" borderId="39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20" fillId="4" borderId="42" xfId="0" applyFont="1" applyFill="1" applyBorder="1" applyAlignment="1">
      <alignment horizontal="center" vertical="center" wrapText="1"/>
    </xf>
    <xf numFmtId="176" fontId="8" fillId="0" borderId="65" xfId="0" applyNumberFormat="1" applyFont="1" applyBorder="1" applyAlignment="1">
      <alignment horizontal="right" vertical="center"/>
    </xf>
    <xf numFmtId="0" fontId="6" fillId="0" borderId="64" xfId="0" applyFont="1" applyBorder="1" applyAlignment="1">
      <alignment vertical="center" wrapText="1"/>
    </xf>
    <xf numFmtId="0" fontId="63" fillId="0" borderId="64" xfId="0" applyFont="1" applyBorder="1"/>
    <xf numFmtId="0" fontId="61" fillId="0" borderId="18" xfId="0" applyFont="1" applyBorder="1" applyAlignment="1">
      <alignment horizontal="center" vertical="center" wrapText="1"/>
    </xf>
    <xf numFmtId="0" fontId="61" fillId="0" borderId="51" xfId="0" applyFont="1" applyBorder="1" applyAlignment="1">
      <alignment horizontal="center" vertical="center" wrapText="1"/>
    </xf>
    <xf numFmtId="0" fontId="57" fillId="0" borderId="20" xfId="0" applyFont="1" applyBorder="1" applyAlignment="1">
      <alignment vertical="center"/>
    </xf>
    <xf numFmtId="0" fontId="64" fillId="0" borderId="53" xfId="0" applyFont="1" applyBorder="1" applyAlignment="1">
      <alignment horizontal="center" vertical="center" wrapText="1"/>
    </xf>
    <xf numFmtId="0" fontId="57" fillId="0" borderId="10" xfId="0" applyFont="1" applyBorder="1"/>
    <xf numFmtId="0" fontId="57" fillId="0" borderId="11" xfId="0" applyFont="1" applyBorder="1"/>
    <xf numFmtId="0" fontId="55" fillId="3" borderId="33" xfId="0" applyFont="1" applyFill="1" applyBorder="1" applyAlignment="1">
      <alignment horizontal="center" vertical="center"/>
    </xf>
    <xf numFmtId="0" fontId="55" fillId="3" borderId="34" xfId="0" applyFont="1" applyFill="1" applyBorder="1" applyAlignment="1">
      <alignment horizontal="center" vertical="center"/>
    </xf>
    <xf numFmtId="0" fontId="55" fillId="3" borderId="35" xfId="0" applyFont="1" applyFill="1" applyBorder="1" applyAlignment="1">
      <alignment horizontal="center" vertical="center"/>
    </xf>
    <xf numFmtId="0" fontId="66" fillId="0" borderId="36" xfId="0" applyFont="1" applyBorder="1" applyAlignment="1">
      <alignment horizontal="left" vertical="center" wrapText="1"/>
    </xf>
    <xf numFmtId="0" fontId="66" fillId="0" borderId="37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67" fillId="0" borderId="38" xfId="0" applyFont="1" applyBorder="1" applyAlignment="1">
      <alignment horizontal="left" vertical="center"/>
    </xf>
    <xf numFmtId="0" fontId="57" fillId="0" borderId="39" xfId="0" applyFont="1" applyBorder="1"/>
    <xf numFmtId="0" fontId="57" fillId="0" borderId="51" xfId="0" applyFont="1" applyBorder="1"/>
    <xf numFmtId="0" fontId="57" fillId="0" borderId="18" xfId="0" applyFont="1" applyBorder="1" applyAlignment="1">
      <alignment horizontal="center" vertical="center"/>
    </xf>
    <xf numFmtId="0" fontId="57" fillId="0" borderId="40" xfId="0" applyFont="1" applyBorder="1"/>
    <xf numFmtId="0" fontId="66" fillId="0" borderId="52" xfId="0" applyFont="1" applyBorder="1" applyAlignment="1">
      <alignment horizontal="center" vertical="center" wrapText="1"/>
    </xf>
    <xf numFmtId="0" fontId="66" fillId="0" borderId="42" xfId="0" applyFont="1" applyBorder="1" applyAlignment="1">
      <alignment horizontal="left" vertical="center" wrapText="1"/>
    </xf>
    <xf numFmtId="0" fontId="55" fillId="0" borderId="18" xfId="0" applyFont="1" applyBorder="1" applyAlignment="1">
      <alignment horizontal="center" vertical="center" wrapText="1"/>
    </xf>
    <xf numFmtId="0" fontId="67" fillId="0" borderId="43" xfId="0" applyFont="1" applyBorder="1" applyAlignment="1">
      <alignment horizontal="left" vertical="center" wrapText="1"/>
    </xf>
    <xf numFmtId="0" fontId="57" fillId="0" borderId="53" xfId="0" applyFont="1" applyBorder="1" applyAlignment="1">
      <alignment horizontal="center" vertical="center" wrapText="1"/>
    </xf>
    <xf numFmtId="20" fontId="67" fillId="4" borderId="39" xfId="0" applyNumberFormat="1" applyFont="1" applyFill="1" applyBorder="1" applyAlignment="1">
      <alignment horizontal="left" vertical="center" wrapText="1"/>
    </xf>
    <xf numFmtId="0" fontId="66" fillId="0" borderId="20" xfId="0" applyFont="1" applyBorder="1" applyAlignment="1">
      <alignment horizontal="center" vertical="center" wrapText="1"/>
    </xf>
    <xf numFmtId="0" fontId="67" fillId="0" borderId="40" xfId="0" applyFont="1" applyBorder="1" applyAlignment="1">
      <alignment horizontal="left" vertical="center" wrapText="1"/>
    </xf>
    <xf numFmtId="0" fontId="67" fillId="0" borderId="40" xfId="0" applyFont="1" applyBorder="1" applyAlignment="1">
      <alignment horizontal="center" vertical="center" wrapText="1"/>
    </xf>
    <xf numFmtId="0" fontId="66" fillId="0" borderId="18" xfId="0" applyFont="1" applyBorder="1" applyAlignment="1">
      <alignment horizontal="center" vertical="center" wrapText="1"/>
    </xf>
    <xf numFmtId="0" fontId="67" fillId="0" borderId="41" xfId="0" applyFont="1" applyBorder="1" applyAlignment="1">
      <alignment vertical="center" wrapText="1"/>
    </xf>
    <xf numFmtId="0" fontId="66" fillId="0" borderId="51" xfId="0" applyFont="1" applyBorder="1" applyAlignment="1">
      <alignment horizontal="center" vertical="center" wrapText="1"/>
    </xf>
    <xf numFmtId="0" fontId="67" fillId="4" borderId="39" xfId="0" applyFont="1" applyFill="1" applyBorder="1" applyAlignment="1">
      <alignment horizontal="left" vertical="center" wrapText="1"/>
    </xf>
    <xf numFmtId="0" fontId="55" fillId="0" borderId="53" xfId="0" applyFont="1" applyBorder="1" applyAlignment="1">
      <alignment horizontal="center" vertical="center"/>
    </xf>
    <xf numFmtId="0" fontId="55" fillId="0" borderId="18" xfId="0" applyFont="1" applyBorder="1" applyAlignment="1">
      <alignment horizontal="center" vertical="center"/>
    </xf>
    <xf numFmtId="0" fontId="55" fillId="0" borderId="52" xfId="0" applyFont="1" applyBorder="1" applyAlignment="1">
      <alignment horizontal="center" vertical="center" wrapText="1"/>
    </xf>
    <xf numFmtId="0" fontId="55" fillId="0" borderId="51" xfId="0" applyFont="1" applyBorder="1" applyAlignment="1">
      <alignment horizontal="center" vertical="center" wrapText="1"/>
    </xf>
    <xf numFmtId="0" fontId="57" fillId="0" borderId="18" xfId="0" applyFont="1" applyBorder="1" applyAlignment="1">
      <alignment horizontal="center" vertical="center" wrapText="1"/>
    </xf>
    <xf numFmtId="0" fontId="57" fillId="0" borderId="20" xfId="0" applyFont="1" applyBorder="1" applyAlignment="1">
      <alignment vertical="center" wrapText="1"/>
    </xf>
    <xf numFmtId="0" fontId="67" fillId="0" borderId="43" xfId="0" applyFont="1" applyBorder="1" applyAlignment="1">
      <alignment horizontal="center" vertical="center" wrapText="1"/>
    </xf>
    <xf numFmtId="0" fontId="66" fillId="0" borderId="46" xfId="0" applyFont="1" applyBorder="1" applyAlignment="1">
      <alignment vertical="center" wrapText="1"/>
    </xf>
    <xf numFmtId="0" fontId="66" fillId="0" borderId="42" xfId="0" applyFont="1" applyBorder="1" applyAlignment="1">
      <alignment horizontal="center" vertical="center" wrapText="1"/>
    </xf>
    <xf numFmtId="0" fontId="66" fillId="0" borderId="39" xfId="0" applyFont="1" applyBorder="1" applyAlignment="1">
      <alignment horizontal="center" vertical="center" wrapText="1"/>
    </xf>
    <xf numFmtId="0" fontId="66" fillId="0" borderId="47" xfId="0" applyFont="1" applyBorder="1" applyAlignment="1">
      <alignment horizontal="center" vertical="center" wrapText="1"/>
    </xf>
    <xf numFmtId="0" fontId="66" fillId="0" borderId="54" xfId="0" applyFont="1" applyBorder="1" applyAlignment="1">
      <alignment vertical="center" wrapText="1"/>
    </xf>
    <xf numFmtId="0" fontId="67" fillId="0" borderId="48" xfId="0" applyFont="1" applyBorder="1" applyAlignment="1">
      <alignment vertical="center" wrapText="1"/>
    </xf>
    <xf numFmtId="0" fontId="55" fillId="0" borderId="53" xfId="0" applyFont="1" applyBorder="1" applyAlignment="1">
      <alignment horizontal="center" vertical="center" wrapText="1"/>
    </xf>
    <xf numFmtId="0" fontId="55" fillId="0" borderId="43" xfId="0" applyFont="1" applyBorder="1" applyAlignment="1">
      <alignment horizontal="center" vertical="center"/>
    </xf>
    <xf numFmtId="0" fontId="55" fillId="0" borderId="40" xfId="0" applyFont="1" applyBorder="1" applyAlignment="1">
      <alignment horizontal="center" vertical="center"/>
    </xf>
    <xf numFmtId="0" fontId="63" fillId="0" borderId="66" xfId="0" applyFont="1" applyBorder="1"/>
    <xf numFmtId="0" fontId="69" fillId="0" borderId="66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58000" cy="1562100"/>
    <xdr:pic>
      <xdr:nvPicPr>
        <xdr:cNvPr id="2" name="image8.png" title="圖片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9525</xdr:rowOff>
    </xdr:from>
    <xdr:ext cx="6858000" cy="1371600"/>
    <xdr:pic>
      <xdr:nvPicPr>
        <xdr:cNvPr id="3" name="image5.png" title="圖片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14</xdr:row>
      <xdr:rowOff>76200</xdr:rowOff>
    </xdr:from>
    <xdr:ext cx="6762750" cy="1400175"/>
    <xdr:pic>
      <xdr:nvPicPr>
        <xdr:cNvPr id="4" name="image3.png" title="圖片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504825</xdr:colOff>
      <xdr:row>12</xdr:row>
      <xdr:rowOff>390525</xdr:rowOff>
    </xdr:from>
    <xdr:ext cx="4867275" cy="4829175"/>
    <xdr:pic>
      <xdr:nvPicPr>
        <xdr:cNvPr id="2" name="image6.png" title="圖片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RdJTNyHmgZry5JT59" TargetMode="External"/><Relationship Id="rId3" Type="http://schemas.openxmlformats.org/officeDocument/2006/relationships/hyperlink" Target="https://maps.app.goo.gl/vXNWktYk9oEXL7Dr7" TargetMode="External"/><Relationship Id="rId7" Type="http://schemas.openxmlformats.org/officeDocument/2006/relationships/hyperlink" Target="https://fujiko-museum.com/zh-CHS.html" TargetMode="External"/><Relationship Id="rId2" Type="http://schemas.openxmlformats.org/officeDocument/2006/relationships/hyperlink" Target="https://www.heiwajima-onsen.jp/" TargetMode="External"/><Relationship Id="rId1" Type="http://schemas.openxmlformats.org/officeDocument/2006/relationships/hyperlink" Target="https://maps.app.goo.gl/wRWgBeDnSs9wzMFH8" TargetMode="External"/><Relationship Id="rId6" Type="http://schemas.openxmlformats.org/officeDocument/2006/relationships/hyperlink" Target="https://fujiko-museum.com/img/access/bustime-01.png" TargetMode="External"/><Relationship Id="rId11" Type="http://schemas.openxmlformats.org/officeDocument/2006/relationships/hyperlink" Target="https://maps.app.goo.gl/5e4KMWX2BhYbeyhP9" TargetMode="External"/><Relationship Id="rId5" Type="http://schemas.openxmlformats.org/officeDocument/2006/relationships/hyperlink" Target="https://maps.app.goo.gl/evRHTkDxt86XD1obA" TargetMode="External"/><Relationship Id="rId10" Type="http://schemas.openxmlformats.org/officeDocument/2006/relationships/hyperlink" Target="https://maps.app.goo.gl/JN4wUWDXujWWmWUR9" TargetMode="External"/><Relationship Id="rId4" Type="http://schemas.openxmlformats.org/officeDocument/2006/relationships/hyperlink" Target="https://images.plurk.com/N2PUOfgqi72EgU10rNOP7.png" TargetMode="External"/><Relationship Id="rId9" Type="http://schemas.openxmlformats.org/officeDocument/2006/relationships/hyperlink" Target="https://www.nature-kawasaki.jp/planetarium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RdJTNyHmgZry5JT59" TargetMode="External"/><Relationship Id="rId13" Type="http://schemas.openxmlformats.org/officeDocument/2006/relationships/hyperlink" Target="https://dora-fskitchen.com/" TargetMode="External"/><Relationship Id="rId3" Type="http://schemas.openxmlformats.org/officeDocument/2006/relationships/hyperlink" Target="https://maps.app.goo.gl/vXNWktYk9oEXL7Dr7" TargetMode="External"/><Relationship Id="rId7" Type="http://schemas.openxmlformats.org/officeDocument/2006/relationships/hyperlink" Target="https://fujiko-museum.com/zh-CHS.html" TargetMode="External"/><Relationship Id="rId12" Type="http://schemas.openxmlformats.org/officeDocument/2006/relationships/hyperlink" Target="https://www.tokyustay.co.jp/chn_tc/hotel/YU/room/" TargetMode="External"/><Relationship Id="rId2" Type="http://schemas.openxmlformats.org/officeDocument/2006/relationships/hyperlink" Target="https://www.heiwajima-onsen.jp/" TargetMode="External"/><Relationship Id="rId16" Type="http://schemas.openxmlformats.org/officeDocument/2006/relationships/hyperlink" Target="https://maps.app.goo.gl/J7ny9XQuvrbqxJPB7" TargetMode="External"/><Relationship Id="rId1" Type="http://schemas.openxmlformats.org/officeDocument/2006/relationships/hyperlink" Target="https://maps.app.goo.gl/wRWgBeDnSs9wzMFH8" TargetMode="External"/><Relationship Id="rId6" Type="http://schemas.openxmlformats.org/officeDocument/2006/relationships/hyperlink" Target="https://fujiko-museum.com/img/access/bustime-01.png" TargetMode="External"/><Relationship Id="rId11" Type="http://schemas.openxmlformats.org/officeDocument/2006/relationships/hyperlink" Target="https://maps.app.goo.gl/5e4KMWX2BhYbeyhP9" TargetMode="External"/><Relationship Id="rId5" Type="http://schemas.openxmlformats.org/officeDocument/2006/relationships/hyperlink" Target="https://maps.app.goo.gl/evRHTkDxt86XD1obA" TargetMode="External"/><Relationship Id="rId15" Type="http://schemas.openxmlformats.org/officeDocument/2006/relationships/hyperlink" Target="https://the-doraemon-store.com/" TargetMode="External"/><Relationship Id="rId10" Type="http://schemas.openxmlformats.org/officeDocument/2006/relationships/hyperlink" Target="https://maps.app.goo.gl/JN4wUWDXujWWmWUR9" TargetMode="External"/><Relationship Id="rId4" Type="http://schemas.openxmlformats.org/officeDocument/2006/relationships/hyperlink" Target="https://images.plurk.com/N2PUOfgqi72EgU10rNOP7.png" TargetMode="External"/><Relationship Id="rId9" Type="http://schemas.openxmlformats.org/officeDocument/2006/relationships/hyperlink" Target="https://www.nature-kawasaki.jp/planetarium.html" TargetMode="External"/><Relationship Id="rId14" Type="http://schemas.openxmlformats.org/officeDocument/2006/relationships/hyperlink" Target="https://maps.app.goo.gl/E7dTVmfRkfCjFYPT7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LDAVkBcieq8eJi686" TargetMode="External"/><Relationship Id="rId2" Type="http://schemas.openxmlformats.org/officeDocument/2006/relationships/hyperlink" Target="https://maps.app.goo.gl/vnL4be3gZQWqGRp78" TargetMode="External"/><Relationship Id="rId1" Type="http://schemas.openxmlformats.org/officeDocument/2006/relationships/hyperlink" Target="https://maps.app.goo.gl/YWGPxkUMZ4Xkdm776" TargetMode="External"/><Relationship Id="rId6" Type="http://schemas.openxmlformats.org/officeDocument/2006/relationships/hyperlink" Target="https://maps.app.goo.gl/SRtDSRrN575RvfXi7" TargetMode="External"/><Relationship Id="rId5" Type="http://schemas.openxmlformats.org/officeDocument/2006/relationships/hyperlink" Target="https://maps.app.goo.gl/X8neMDtreG3HgqGv5" TargetMode="External"/><Relationship Id="rId4" Type="http://schemas.openxmlformats.org/officeDocument/2006/relationships/hyperlink" Target="https://maps.app.goo.gl/pNQe98txV3nCWKfB7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CfNZ7xGwB4xphCxA6" TargetMode="External"/><Relationship Id="rId7" Type="http://schemas.openxmlformats.org/officeDocument/2006/relationships/hyperlink" Target="https://maps.app.goo.gl/wQL9qLYa31CKui328" TargetMode="External"/><Relationship Id="rId2" Type="http://schemas.openxmlformats.org/officeDocument/2006/relationships/hyperlink" Target="https://www.billsjapan.com/jp/locations/ginza" TargetMode="External"/><Relationship Id="rId1" Type="http://schemas.openxmlformats.org/officeDocument/2006/relationships/hyperlink" Target="https://maps.app.goo.gl/TKr642MYNq9nMpzv6" TargetMode="External"/><Relationship Id="rId6" Type="http://schemas.openxmlformats.org/officeDocument/2006/relationships/hyperlink" Target="https://maps.app.goo.gl/QHUGTe1yazwG76Hm9" TargetMode="External"/><Relationship Id="rId5" Type="http://schemas.openxmlformats.org/officeDocument/2006/relationships/hyperlink" Target="https://metro.akilocker.biz/mobile/map.html?locationId=METRO_AKASAKA&amp;mapId=M40002&amp;lang=4&amp;lgId=tokyometro&amp;skipFlg=1" TargetMode="External"/><Relationship Id="rId4" Type="http://schemas.openxmlformats.org/officeDocument/2006/relationships/hyperlink" Target="https://maps.app.goo.gl/xmMncZrVeB5koHvL6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6"/>
  <sheetViews>
    <sheetView workbookViewId="0"/>
  </sheetViews>
  <sheetFormatPr defaultColWidth="12.5703125" defaultRowHeight="15.75" customHeight="1"/>
  <cols>
    <col min="1" max="1" width="7.5703125" customWidth="1"/>
    <col min="2" max="2" width="33.85546875" customWidth="1"/>
    <col min="3" max="4" width="17" customWidth="1"/>
    <col min="5" max="6" width="7.5703125" customWidth="1"/>
  </cols>
  <sheetData>
    <row r="1" spans="1:6" ht="15.75" customHeight="1">
      <c r="A1" s="1"/>
      <c r="B1" s="1"/>
      <c r="C1" s="1"/>
      <c r="D1" s="1"/>
      <c r="E1" s="2"/>
      <c r="F1" s="1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1"/>
      <c r="B3" s="1"/>
      <c r="C3" s="1"/>
      <c r="D3" s="1"/>
      <c r="E3" s="1"/>
      <c r="F3" s="1"/>
    </row>
    <row r="4" spans="1:6" ht="15.75" customHeight="1">
      <c r="A4" s="1"/>
      <c r="B4" s="1"/>
      <c r="C4" s="1"/>
      <c r="D4" s="1"/>
      <c r="E4" s="1"/>
      <c r="F4" s="1"/>
    </row>
    <row r="5" spans="1:6" ht="15.75" customHeight="1">
      <c r="A5" s="1"/>
      <c r="B5" s="1"/>
      <c r="C5" s="1"/>
      <c r="D5" s="1"/>
      <c r="E5" s="1"/>
      <c r="F5" s="1"/>
    </row>
    <row r="6" spans="1:6" ht="15.75" customHeight="1">
      <c r="A6" s="1"/>
      <c r="B6" s="1"/>
      <c r="C6" s="1"/>
      <c r="D6" s="1"/>
      <c r="E6" s="1"/>
      <c r="F6" s="1"/>
    </row>
    <row r="7" spans="1:6" ht="15.75" customHeight="1">
      <c r="A7" s="1"/>
      <c r="B7" s="1"/>
      <c r="C7" s="1"/>
      <c r="D7" s="1"/>
      <c r="E7" s="1"/>
      <c r="F7" s="1"/>
    </row>
    <row r="8" spans="1:6" ht="15.75" customHeight="1">
      <c r="A8" s="1"/>
      <c r="B8" s="1"/>
      <c r="C8" s="1"/>
      <c r="D8" s="1"/>
      <c r="E8" s="1"/>
      <c r="F8" s="1"/>
    </row>
    <row r="9" spans="1:6" ht="15.75" customHeight="1">
      <c r="A9" s="1"/>
      <c r="B9" s="1"/>
      <c r="C9" s="1"/>
      <c r="D9" s="1"/>
      <c r="E9" s="1"/>
      <c r="F9" s="1"/>
    </row>
    <row r="10" spans="1:6" ht="15.75" customHeight="1">
      <c r="A10" s="1"/>
      <c r="B10" s="1"/>
      <c r="C10" s="1"/>
      <c r="D10" s="1"/>
      <c r="E10" s="1"/>
      <c r="F10" s="1"/>
    </row>
    <row r="11" spans="1:6" ht="15.75" customHeight="1">
      <c r="A11" s="1"/>
      <c r="B11" s="1"/>
      <c r="C11" s="1"/>
      <c r="D11" s="1"/>
      <c r="E11" s="1"/>
      <c r="F11" s="1"/>
    </row>
    <row r="12" spans="1:6" ht="15.75" customHeight="1">
      <c r="A12" s="1"/>
      <c r="B12" s="1"/>
      <c r="C12" s="1"/>
      <c r="D12" s="1"/>
      <c r="E12" s="1"/>
      <c r="F12" s="1"/>
    </row>
    <row r="13" spans="1:6" ht="15.75" customHeight="1">
      <c r="A13" s="1"/>
      <c r="B13" s="1"/>
      <c r="C13" s="1"/>
      <c r="D13" s="1"/>
      <c r="E13" s="1"/>
      <c r="F13" s="1"/>
    </row>
    <row r="14" spans="1:6" ht="15.75" customHeight="1">
      <c r="A14" s="1"/>
      <c r="B14" s="1"/>
      <c r="C14" s="1"/>
      <c r="D14" s="1"/>
      <c r="E14" s="1"/>
      <c r="F14" s="1"/>
    </row>
    <row r="15" spans="1:6" ht="15.75" customHeight="1">
      <c r="A15" s="1"/>
      <c r="B15" s="1"/>
      <c r="C15" s="1"/>
      <c r="D15" s="1"/>
      <c r="E15" s="1"/>
      <c r="F15" s="1"/>
    </row>
    <row r="16" spans="1:6" ht="15.75" customHeight="1">
      <c r="A16" s="1"/>
      <c r="B16" s="1"/>
      <c r="C16" s="1"/>
      <c r="D16" s="1"/>
      <c r="E16" s="1"/>
      <c r="F16" s="1"/>
    </row>
    <row r="17" spans="1:6" ht="15.75" customHeight="1">
      <c r="A17" s="1"/>
      <c r="B17" s="1"/>
      <c r="C17" s="1"/>
      <c r="D17" s="1"/>
      <c r="E17" s="1"/>
      <c r="F17" s="1"/>
    </row>
    <row r="18" spans="1:6" ht="15.75" customHeight="1">
      <c r="A18" s="1"/>
      <c r="B18" s="1"/>
      <c r="C18" s="1"/>
      <c r="D18" s="1"/>
      <c r="E18" s="1"/>
      <c r="F18" s="1"/>
    </row>
    <row r="19" spans="1:6" ht="15.75" customHeight="1">
      <c r="A19" s="1"/>
      <c r="B19" s="1"/>
      <c r="C19" s="1"/>
      <c r="D19" s="1"/>
      <c r="E19" s="1"/>
      <c r="F19" s="1"/>
    </row>
    <row r="20" spans="1:6" ht="15.75" customHeight="1">
      <c r="A20" s="1"/>
      <c r="B20" s="1"/>
      <c r="C20" s="1"/>
      <c r="D20" s="1"/>
      <c r="E20" s="1"/>
      <c r="F20" s="1"/>
    </row>
    <row r="21" spans="1:6" ht="15.75" customHeight="1">
      <c r="A21" s="1"/>
      <c r="B21" s="1"/>
      <c r="C21" s="1"/>
      <c r="D21" s="1"/>
      <c r="E21" s="1"/>
      <c r="F21" s="1"/>
    </row>
    <row r="22" spans="1:6" ht="15.75" customHeight="1">
      <c r="A22" s="1"/>
      <c r="B22" s="1"/>
      <c r="C22" s="1"/>
      <c r="D22" s="1"/>
      <c r="E22" s="1"/>
      <c r="F22" s="1"/>
    </row>
    <row r="23" spans="1:6" ht="15.75" customHeight="1">
      <c r="A23" s="1"/>
      <c r="B23" s="1"/>
      <c r="C23" s="1"/>
      <c r="D23" s="1"/>
      <c r="E23" s="1"/>
      <c r="F23" s="1"/>
    </row>
    <row r="24" spans="1:6" ht="15.75" customHeight="1">
      <c r="A24" s="1"/>
      <c r="B24" s="1"/>
      <c r="C24" s="1"/>
      <c r="D24" s="1"/>
      <c r="E24" s="1"/>
      <c r="F24" s="1"/>
    </row>
    <row r="25" spans="1:6" ht="15.75" customHeight="1">
      <c r="A25" s="1"/>
      <c r="B25" s="1"/>
      <c r="C25" s="1"/>
      <c r="D25" s="1"/>
      <c r="E25" s="1"/>
      <c r="F25" s="1"/>
    </row>
    <row r="26" spans="1:6" ht="15.75" customHeight="1">
      <c r="A26" s="1"/>
      <c r="B26" s="1"/>
      <c r="C26" s="1"/>
      <c r="D26" s="1"/>
      <c r="E26" s="1"/>
      <c r="F26" s="1"/>
    </row>
    <row r="27" spans="1:6" ht="15.75" customHeight="1">
      <c r="A27" s="1"/>
      <c r="B27" s="1"/>
      <c r="C27" s="1"/>
      <c r="D27" s="1"/>
      <c r="E27" s="1"/>
      <c r="F27" s="1"/>
    </row>
    <row r="28" spans="1:6" ht="15.75" customHeight="1">
      <c r="A28" s="1"/>
      <c r="B28" s="1"/>
      <c r="C28" s="1"/>
      <c r="D28" s="1"/>
      <c r="E28" s="1"/>
      <c r="F28" s="1"/>
    </row>
    <row r="29" spans="1:6" ht="15.75" customHeight="1">
      <c r="A29" s="1"/>
      <c r="B29" s="1"/>
      <c r="C29" s="1"/>
      <c r="D29" s="1"/>
      <c r="E29" s="1"/>
      <c r="F29" s="1"/>
    </row>
    <row r="30" spans="1:6" ht="15.75" customHeight="1">
      <c r="A30" s="1"/>
      <c r="B30" s="1"/>
      <c r="C30" s="1"/>
      <c r="D30" s="1"/>
      <c r="E30" s="1"/>
      <c r="F30" s="1"/>
    </row>
    <row r="31" spans="1:6" ht="15.75" customHeight="1">
      <c r="A31" s="1"/>
      <c r="B31" s="1"/>
      <c r="C31" s="1"/>
      <c r="D31" s="1"/>
      <c r="E31" s="1"/>
      <c r="F31" s="1"/>
    </row>
    <row r="32" spans="1:6" ht="15.75" customHeight="1">
      <c r="A32" s="1"/>
      <c r="B32" s="1"/>
      <c r="C32" s="1"/>
      <c r="D32" s="1"/>
      <c r="E32" s="1"/>
      <c r="F32" s="1"/>
    </row>
    <row r="33" spans="1:6" ht="15.75" customHeight="1">
      <c r="A33" s="1"/>
      <c r="B33" s="1"/>
      <c r="C33" s="1"/>
      <c r="D33" s="1"/>
      <c r="E33" s="1"/>
      <c r="F33" s="1"/>
    </row>
    <row r="34" spans="1:6" ht="15.75" customHeight="1">
      <c r="A34" s="1"/>
      <c r="B34" s="1"/>
      <c r="C34" s="1"/>
      <c r="D34" s="1"/>
      <c r="E34" s="1"/>
      <c r="F34" s="1"/>
    </row>
    <row r="35" spans="1:6" ht="15.75" customHeight="1">
      <c r="A35" s="1"/>
      <c r="B35" s="1"/>
      <c r="C35" s="1"/>
      <c r="D35" s="1"/>
      <c r="E35" s="1"/>
      <c r="F35" s="1"/>
    </row>
    <row r="36" spans="1:6" ht="15">
      <c r="A36" s="1"/>
      <c r="B36" s="1"/>
      <c r="C36" s="1"/>
      <c r="D36" s="1"/>
      <c r="E36" s="1"/>
      <c r="F36" s="1"/>
    </row>
  </sheetData>
  <phoneticPr fontId="5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1"/>
  <sheetViews>
    <sheetView topLeftCell="A7" workbookViewId="0">
      <selection activeCell="E20" sqref="E20"/>
    </sheetView>
  </sheetViews>
  <sheetFormatPr defaultColWidth="12.5703125" defaultRowHeight="15.75" customHeight="1"/>
  <cols>
    <col min="1" max="1" width="1.28515625" customWidth="1"/>
    <col min="2" max="2" width="9.42578125" customWidth="1"/>
    <col min="3" max="3" width="14.7109375" customWidth="1"/>
    <col min="4" max="4" width="37.5703125" style="97" customWidth="1"/>
    <col min="5" max="5" width="31.42578125" customWidth="1"/>
    <col min="6" max="6" width="1.28515625" customWidth="1"/>
  </cols>
  <sheetData>
    <row r="1" spans="1:6" ht="8.25" customHeight="1">
      <c r="A1" s="3"/>
      <c r="B1" s="4"/>
      <c r="C1" s="5"/>
      <c r="D1" s="95"/>
      <c r="E1" s="7"/>
      <c r="F1" s="8"/>
    </row>
    <row r="2" spans="1:6" ht="18" customHeight="1">
      <c r="A2" s="93"/>
      <c r="B2" s="107" t="s">
        <v>202</v>
      </c>
      <c r="C2" s="160"/>
      <c r="D2" s="160"/>
      <c r="E2" s="161"/>
      <c r="F2" s="10"/>
    </row>
    <row r="3" spans="1:6" ht="20.25" customHeight="1">
      <c r="A3" s="93"/>
      <c r="B3" s="162" t="s">
        <v>203</v>
      </c>
      <c r="C3" s="163" t="s">
        <v>204</v>
      </c>
      <c r="D3" s="163" t="s">
        <v>205</v>
      </c>
      <c r="E3" s="164" t="s">
        <v>206</v>
      </c>
      <c r="F3" s="14"/>
    </row>
    <row r="4" spans="1:6" ht="10.5" customHeight="1">
      <c r="A4" s="93"/>
      <c r="B4" s="165" t="s">
        <v>71</v>
      </c>
      <c r="C4" s="166" t="s">
        <v>207</v>
      </c>
      <c r="D4" s="167" t="s">
        <v>72</v>
      </c>
      <c r="E4" s="168" t="s">
        <v>208</v>
      </c>
      <c r="F4" s="14"/>
    </row>
    <row r="5" spans="1:6" ht="10.5" customHeight="1">
      <c r="A5" s="93"/>
      <c r="B5" s="169"/>
      <c r="C5" s="170"/>
      <c r="D5" s="171"/>
      <c r="E5" s="172"/>
      <c r="F5" s="17"/>
    </row>
    <row r="6" spans="1:6" ht="10.5" customHeight="1">
      <c r="A6" s="93"/>
      <c r="B6" s="169"/>
      <c r="C6" s="173" t="s">
        <v>209</v>
      </c>
      <c r="D6" s="106"/>
      <c r="E6" s="104"/>
      <c r="F6" s="17"/>
    </row>
    <row r="7" spans="1:6" ht="39" customHeight="1">
      <c r="A7" s="94"/>
      <c r="B7" s="174" t="s">
        <v>192</v>
      </c>
      <c r="C7" s="170"/>
      <c r="D7" s="175" t="s">
        <v>229</v>
      </c>
      <c r="E7" s="176" t="s">
        <v>210</v>
      </c>
      <c r="F7" s="20"/>
    </row>
    <row r="8" spans="1:6" ht="39" customHeight="1">
      <c r="A8" s="94"/>
      <c r="B8" s="169"/>
      <c r="C8" s="173" t="s">
        <v>227</v>
      </c>
      <c r="D8" s="106"/>
      <c r="E8" s="104"/>
      <c r="F8" s="21"/>
    </row>
    <row r="9" spans="1:6" ht="26.25" customHeight="1">
      <c r="A9" s="94"/>
      <c r="B9" s="174" t="s">
        <v>194</v>
      </c>
      <c r="C9" s="170"/>
      <c r="D9" s="177" t="s">
        <v>211</v>
      </c>
      <c r="E9" s="176" t="s">
        <v>212</v>
      </c>
      <c r="F9" s="21"/>
    </row>
    <row r="10" spans="1:6" ht="11.25" customHeight="1">
      <c r="A10" s="94"/>
      <c r="B10" s="169"/>
      <c r="C10" s="188" t="s">
        <v>218</v>
      </c>
      <c r="D10" s="106"/>
      <c r="E10" s="104"/>
      <c r="F10" s="21"/>
    </row>
    <row r="11" spans="1:6" ht="15.75" customHeight="1">
      <c r="A11" s="94"/>
      <c r="B11" s="178" t="s">
        <v>197</v>
      </c>
      <c r="C11" s="175"/>
      <c r="D11" s="179"/>
      <c r="E11" s="180" t="s">
        <v>213</v>
      </c>
      <c r="F11" s="21"/>
    </row>
    <row r="12" spans="1:6" ht="12" customHeight="1">
      <c r="A12" s="94"/>
      <c r="B12" s="174" t="s">
        <v>220</v>
      </c>
      <c r="C12" s="189"/>
      <c r="D12" s="186" t="s">
        <v>216</v>
      </c>
      <c r="E12" s="181"/>
      <c r="F12" s="21"/>
    </row>
    <row r="13" spans="1:6" ht="12" customHeight="1">
      <c r="A13" s="94"/>
      <c r="B13" s="169"/>
      <c r="C13" s="173" t="s">
        <v>214</v>
      </c>
      <c r="D13" s="187"/>
      <c r="E13" s="181"/>
      <c r="F13" s="21"/>
    </row>
    <row r="14" spans="1:6" ht="19.5" customHeight="1">
      <c r="A14" s="93"/>
      <c r="B14" s="178" t="s">
        <v>221</v>
      </c>
      <c r="C14" s="182"/>
      <c r="D14" s="158"/>
      <c r="E14" s="183" t="s">
        <v>215</v>
      </c>
      <c r="F14" s="14"/>
    </row>
    <row r="15" spans="1:6" ht="19.5" customHeight="1">
      <c r="A15" s="93"/>
      <c r="B15" s="174" t="s">
        <v>224</v>
      </c>
      <c r="C15" s="184"/>
      <c r="D15" s="159" t="s">
        <v>222</v>
      </c>
      <c r="E15" s="192"/>
      <c r="F15" s="14"/>
    </row>
    <row r="16" spans="1:6" ht="19.5" customHeight="1">
      <c r="A16" s="93"/>
      <c r="B16" s="169"/>
      <c r="C16" s="103" t="s">
        <v>217</v>
      </c>
      <c r="D16" s="190"/>
      <c r="E16" s="181"/>
      <c r="F16" s="14"/>
    </row>
    <row r="17" spans="1:6" ht="19.5" customHeight="1">
      <c r="A17" s="93"/>
      <c r="B17" s="185" t="s">
        <v>223</v>
      </c>
      <c r="C17" s="156"/>
      <c r="D17" s="191"/>
      <c r="E17" s="183" t="s">
        <v>219</v>
      </c>
      <c r="F17" s="14"/>
    </row>
    <row r="18" spans="1:6" ht="12.75">
      <c r="A18" s="93"/>
      <c r="B18" s="194" t="s">
        <v>225</v>
      </c>
      <c r="C18" s="157"/>
      <c r="D18" s="199" t="s">
        <v>226</v>
      </c>
      <c r="E18" s="200"/>
      <c r="F18" s="14"/>
    </row>
    <row r="19" spans="1:6" ht="12.75">
      <c r="A19" s="93"/>
      <c r="B19" s="195"/>
      <c r="C19" s="103" t="s">
        <v>228</v>
      </c>
      <c r="D19" s="175"/>
      <c r="E19" s="201"/>
      <c r="F19" s="14"/>
    </row>
    <row r="20" spans="1:6" ht="18.75" customHeight="1" thickBot="1">
      <c r="A20" s="93"/>
      <c r="B20" s="193"/>
      <c r="C20" s="196"/>
      <c r="D20" s="197"/>
      <c r="E20" s="198"/>
      <c r="F20" s="14"/>
    </row>
    <row r="21" spans="1:6" ht="14.25" thickTop="1" thickBot="1">
      <c r="A21" s="29"/>
      <c r="B21" s="38"/>
      <c r="C21" s="38"/>
      <c r="D21" s="96"/>
      <c r="E21" s="39"/>
      <c r="F21" s="40"/>
    </row>
  </sheetData>
  <mergeCells count="26">
    <mergeCell ref="E12:E13"/>
    <mergeCell ref="D15:D16"/>
    <mergeCell ref="B15:B16"/>
    <mergeCell ref="E15:E16"/>
    <mergeCell ref="B12:B13"/>
    <mergeCell ref="C16:C18"/>
    <mergeCell ref="D18:D19"/>
    <mergeCell ref="E18:E19"/>
    <mergeCell ref="C19:C20"/>
    <mergeCell ref="B18:B19"/>
    <mergeCell ref="B2:E2"/>
    <mergeCell ref="B4:B6"/>
    <mergeCell ref="C4:C5"/>
    <mergeCell ref="D4:D6"/>
    <mergeCell ref="E4:E6"/>
    <mergeCell ref="C6:C7"/>
    <mergeCell ref="B7:B8"/>
    <mergeCell ref="C10:C12"/>
    <mergeCell ref="B9:B10"/>
    <mergeCell ref="C8:C9"/>
    <mergeCell ref="D9:D10"/>
    <mergeCell ref="E9:E10"/>
    <mergeCell ref="D7:D8"/>
    <mergeCell ref="E7:E8"/>
    <mergeCell ref="C13:C15"/>
    <mergeCell ref="D12:D13"/>
  </mergeCells>
  <phoneticPr fontId="5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3"/>
  <sheetViews>
    <sheetView workbookViewId="0"/>
  </sheetViews>
  <sheetFormatPr defaultColWidth="12.5703125" defaultRowHeight="15.75" customHeight="1"/>
  <cols>
    <col min="1" max="1" width="1.28515625" customWidth="1"/>
    <col min="2" max="2" width="9.42578125" customWidth="1"/>
    <col min="3" max="3" width="14.7109375" customWidth="1"/>
    <col min="4" max="5" width="34.85546875" customWidth="1"/>
    <col min="6" max="6" width="1.28515625" customWidth="1"/>
  </cols>
  <sheetData>
    <row r="1" spans="1:6" ht="8.25" customHeight="1">
      <c r="A1" s="3"/>
      <c r="B1" s="4"/>
      <c r="C1" s="5"/>
      <c r="D1" s="6"/>
      <c r="E1" s="7"/>
      <c r="F1" s="8"/>
    </row>
    <row r="2" spans="1:6" ht="30" customHeight="1">
      <c r="A2" s="9"/>
      <c r="B2" s="123" t="s">
        <v>0</v>
      </c>
      <c r="C2" s="124"/>
      <c r="D2" s="124"/>
      <c r="E2" s="125"/>
      <c r="F2" s="10"/>
    </row>
    <row r="3" spans="1:6" ht="30" customHeight="1">
      <c r="A3" s="9"/>
      <c r="B3" s="11" t="s">
        <v>1</v>
      </c>
      <c r="C3" s="12" t="s">
        <v>2</v>
      </c>
      <c r="D3" s="12" t="s">
        <v>3</v>
      </c>
      <c r="E3" s="13" t="s">
        <v>4</v>
      </c>
      <c r="F3" s="14"/>
    </row>
    <row r="4" spans="1:6" ht="10.5" customHeight="1">
      <c r="A4" s="9"/>
      <c r="B4" s="126" t="s">
        <v>5</v>
      </c>
      <c r="C4" s="115" t="s">
        <v>6</v>
      </c>
      <c r="D4" s="99" t="s">
        <v>7</v>
      </c>
      <c r="E4" s="127" t="s">
        <v>8</v>
      </c>
      <c r="F4" s="14"/>
    </row>
    <row r="5" spans="1:6" ht="10.5" customHeight="1">
      <c r="A5" s="9"/>
      <c r="B5" s="117"/>
      <c r="C5" s="112"/>
      <c r="D5" s="116"/>
      <c r="E5" s="114"/>
      <c r="F5" s="17"/>
    </row>
    <row r="6" spans="1:6" ht="10.5" customHeight="1">
      <c r="A6" s="9"/>
      <c r="B6" s="117"/>
      <c r="C6" s="115" t="s">
        <v>9</v>
      </c>
      <c r="D6" s="112"/>
      <c r="E6" s="119"/>
      <c r="F6" s="17"/>
    </row>
    <row r="7" spans="1:6" ht="12" customHeight="1">
      <c r="A7" s="18"/>
      <c r="B7" s="110" t="s">
        <v>10</v>
      </c>
      <c r="C7" s="112"/>
      <c r="D7" s="122" t="s">
        <v>11</v>
      </c>
      <c r="E7" s="113" t="s">
        <v>12</v>
      </c>
      <c r="F7" s="20"/>
    </row>
    <row r="8" spans="1:6" ht="26.25" customHeight="1">
      <c r="A8" s="18"/>
      <c r="B8" s="117"/>
      <c r="C8" s="120" t="s">
        <v>13</v>
      </c>
      <c r="D8" s="112"/>
      <c r="E8" s="119"/>
      <c r="F8" s="21"/>
    </row>
    <row r="9" spans="1:6" ht="51.75" customHeight="1">
      <c r="A9" s="18"/>
      <c r="B9" s="22" t="s">
        <v>14</v>
      </c>
      <c r="C9" s="116"/>
      <c r="D9" s="99" t="s">
        <v>15</v>
      </c>
      <c r="E9" s="128" t="s">
        <v>16</v>
      </c>
      <c r="F9" s="21"/>
    </row>
    <row r="10" spans="1:6" ht="12.75">
      <c r="A10" s="18"/>
      <c r="B10" s="110" t="s">
        <v>17</v>
      </c>
      <c r="C10" s="112"/>
      <c r="D10" s="116"/>
      <c r="E10" s="114"/>
      <c r="F10" s="21"/>
    </row>
    <row r="11" spans="1:6" ht="12.75">
      <c r="A11" s="9"/>
      <c r="B11" s="117"/>
      <c r="C11" s="115" t="s">
        <v>18</v>
      </c>
      <c r="D11" s="112"/>
      <c r="E11" s="119"/>
      <c r="F11" s="14"/>
    </row>
    <row r="12" spans="1:6" ht="12.75">
      <c r="A12" s="9"/>
      <c r="B12" s="110" t="s">
        <v>19</v>
      </c>
      <c r="C12" s="112"/>
      <c r="D12" s="102" t="s">
        <v>20</v>
      </c>
      <c r="E12" s="118" t="s">
        <v>21</v>
      </c>
      <c r="F12" s="14"/>
    </row>
    <row r="13" spans="1:6" ht="12.75">
      <c r="A13" s="9"/>
      <c r="B13" s="117"/>
      <c r="C13" s="120" t="s">
        <v>22</v>
      </c>
      <c r="D13" s="112"/>
      <c r="E13" s="119"/>
      <c r="F13" s="14"/>
    </row>
    <row r="14" spans="1:6" ht="24">
      <c r="A14" s="9"/>
      <c r="B14" s="22" t="s">
        <v>23</v>
      </c>
      <c r="C14" s="116"/>
      <c r="D14" s="23"/>
      <c r="E14" s="24" t="s">
        <v>24</v>
      </c>
      <c r="F14" s="14"/>
    </row>
    <row r="15" spans="1:6" ht="12.75">
      <c r="A15" s="9"/>
      <c r="B15" s="110" t="s">
        <v>25</v>
      </c>
      <c r="C15" s="112"/>
      <c r="D15" s="102" t="s">
        <v>26</v>
      </c>
      <c r="E15" s="113"/>
      <c r="F15" s="14"/>
    </row>
    <row r="16" spans="1:6" ht="12.75">
      <c r="A16" s="9"/>
      <c r="B16" s="117"/>
      <c r="C16" s="121" t="s">
        <v>27</v>
      </c>
      <c r="D16" s="112"/>
      <c r="E16" s="119"/>
      <c r="F16" s="14"/>
    </row>
    <row r="17" spans="1:6" ht="33.75">
      <c r="A17" s="9"/>
      <c r="B17" s="22" t="s">
        <v>28</v>
      </c>
      <c r="C17" s="116"/>
      <c r="E17" s="19" t="s">
        <v>29</v>
      </c>
      <c r="F17" s="14"/>
    </row>
    <row r="18" spans="1:6" ht="12.75">
      <c r="A18" s="9"/>
      <c r="B18" s="110" t="s">
        <v>30</v>
      </c>
      <c r="C18" s="116"/>
      <c r="D18" s="102" t="s">
        <v>26</v>
      </c>
      <c r="E18" s="113"/>
      <c r="F18" s="14"/>
    </row>
    <row r="19" spans="1:6" ht="12.75">
      <c r="A19" s="9"/>
      <c r="B19" s="111"/>
      <c r="C19" s="115" t="s">
        <v>18</v>
      </c>
      <c r="D19" s="112"/>
      <c r="E19" s="114"/>
      <c r="F19" s="14"/>
    </row>
    <row r="20" spans="1:6" ht="33" customHeight="1">
      <c r="A20" s="9"/>
      <c r="B20" s="110" t="s">
        <v>31</v>
      </c>
      <c r="C20" s="112"/>
      <c r="D20" s="99" t="s">
        <v>32</v>
      </c>
      <c r="E20" s="113" t="s">
        <v>33</v>
      </c>
      <c r="F20" s="14"/>
    </row>
    <row r="21" spans="1:6" ht="25.5" customHeight="1">
      <c r="A21" s="9"/>
      <c r="B21" s="111"/>
      <c r="C21" s="115" t="s">
        <v>34</v>
      </c>
      <c r="D21" s="112"/>
      <c r="E21" s="114"/>
      <c r="F21" s="14"/>
    </row>
    <row r="22" spans="1:6" ht="12.75">
      <c r="A22" s="9"/>
      <c r="B22" s="110" t="s">
        <v>35</v>
      </c>
      <c r="C22" s="112"/>
      <c r="D22" s="99" t="s">
        <v>36</v>
      </c>
      <c r="E22" s="113"/>
      <c r="F22" s="14"/>
    </row>
    <row r="23" spans="1:6" ht="12.75">
      <c r="A23" s="9"/>
      <c r="B23" s="111"/>
      <c r="C23" s="115" t="s">
        <v>37</v>
      </c>
      <c r="D23" s="112"/>
      <c r="E23" s="114"/>
      <c r="F23" s="14"/>
    </row>
    <row r="24" spans="1:6" ht="24">
      <c r="A24" s="9"/>
      <c r="B24" s="22" t="s">
        <v>38</v>
      </c>
      <c r="C24" s="116"/>
      <c r="D24" s="23"/>
      <c r="E24" s="19" t="s">
        <v>39</v>
      </c>
      <c r="F24" s="14"/>
    </row>
    <row r="25" spans="1:6" ht="24">
      <c r="A25" s="9"/>
      <c r="B25" s="25" t="s">
        <v>40</v>
      </c>
      <c r="C25" s="112"/>
      <c r="D25" s="23"/>
      <c r="E25" s="19"/>
      <c r="F25" s="14"/>
    </row>
    <row r="26" spans="1:6" ht="36">
      <c r="A26" s="9"/>
      <c r="B26" s="25"/>
      <c r="C26" s="23" t="s">
        <v>41</v>
      </c>
      <c r="D26" s="23"/>
      <c r="E26" s="19"/>
      <c r="F26" s="14"/>
    </row>
    <row r="27" spans="1:6" ht="12.75">
      <c r="A27" s="9"/>
      <c r="B27" s="25"/>
      <c r="C27" s="23"/>
      <c r="D27" s="23"/>
      <c r="E27" s="19"/>
      <c r="F27" s="14"/>
    </row>
    <row r="28" spans="1:6" ht="12.75">
      <c r="A28" s="9"/>
      <c r="B28" s="25"/>
      <c r="C28" s="23"/>
      <c r="D28" s="23"/>
      <c r="E28" s="19"/>
      <c r="F28" s="14"/>
    </row>
    <row r="29" spans="1:6" ht="12.75">
      <c r="A29" s="9"/>
      <c r="B29" s="25"/>
      <c r="C29" s="23"/>
      <c r="D29" s="23"/>
      <c r="E29" s="19"/>
      <c r="F29" s="14"/>
    </row>
    <row r="30" spans="1:6" ht="12.75">
      <c r="A30" s="9"/>
      <c r="B30" s="25"/>
      <c r="C30" s="23"/>
      <c r="D30" s="23"/>
      <c r="E30" s="19"/>
      <c r="F30" s="14"/>
    </row>
    <row r="31" spans="1:6" ht="12.75">
      <c r="A31" s="9"/>
      <c r="B31" s="25"/>
      <c r="C31" s="23"/>
      <c r="D31" s="23"/>
      <c r="E31" s="19"/>
      <c r="F31" s="14"/>
    </row>
    <row r="32" spans="1:6" ht="12.75">
      <c r="A32" s="9"/>
      <c r="B32" s="26"/>
      <c r="C32" s="27"/>
      <c r="D32" s="27"/>
      <c r="E32" s="28"/>
      <c r="F32" s="14"/>
    </row>
    <row r="33" spans="1:6" ht="12.75">
      <c r="A33" s="29"/>
      <c r="B33" s="4"/>
      <c r="C33" s="5"/>
      <c r="D33" s="30"/>
      <c r="E33" s="7"/>
      <c r="F33" s="31"/>
    </row>
  </sheetData>
  <mergeCells count="34">
    <mergeCell ref="D7:D8"/>
    <mergeCell ref="E7:E8"/>
    <mergeCell ref="B2:E2"/>
    <mergeCell ref="B4:B6"/>
    <mergeCell ref="C4:C5"/>
    <mergeCell ref="D4:D6"/>
    <mergeCell ref="E4:E6"/>
    <mergeCell ref="C6:C7"/>
    <mergeCell ref="B7:B8"/>
    <mergeCell ref="C8:C10"/>
    <mergeCell ref="D9:D11"/>
    <mergeCell ref="E9:E11"/>
    <mergeCell ref="B10:B11"/>
    <mergeCell ref="B12:B13"/>
    <mergeCell ref="D12:D13"/>
    <mergeCell ref="E12:E13"/>
    <mergeCell ref="D18:D19"/>
    <mergeCell ref="E18:E19"/>
    <mergeCell ref="B18:B19"/>
    <mergeCell ref="C11:C12"/>
    <mergeCell ref="C13:C15"/>
    <mergeCell ref="B15:B16"/>
    <mergeCell ref="D15:D16"/>
    <mergeCell ref="E15:E16"/>
    <mergeCell ref="C16:C18"/>
    <mergeCell ref="B20:B21"/>
    <mergeCell ref="B22:B23"/>
    <mergeCell ref="D20:D21"/>
    <mergeCell ref="E20:E21"/>
    <mergeCell ref="C21:C22"/>
    <mergeCell ref="D22:D23"/>
    <mergeCell ref="E22:E23"/>
    <mergeCell ref="C23:C25"/>
    <mergeCell ref="C19:C20"/>
  </mergeCells>
  <phoneticPr fontId="52" type="noConversion"/>
  <hyperlinks>
    <hyperlink ref="D7" r:id="rId1" xr:uid="{00000000-0004-0000-0100-000000000000}"/>
    <hyperlink ref="C8" r:id="rId2" xr:uid="{00000000-0004-0000-0100-000001000000}"/>
    <hyperlink ref="D9" r:id="rId3" xr:uid="{00000000-0004-0000-0100-000002000000}"/>
    <hyperlink ref="E9" r:id="rId4" xr:uid="{00000000-0004-0000-0100-000003000000}"/>
    <hyperlink ref="D12" r:id="rId5" xr:uid="{00000000-0004-0000-0100-000004000000}"/>
    <hyperlink ref="E12" r:id="rId6" xr:uid="{00000000-0004-0000-0100-000005000000}"/>
    <hyperlink ref="C13" r:id="rId7" location="about" xr:uid="{00000000-0004-0000-0100-000006000000}"/>
    <hyperlink ref="D15" r:id="rId8" xr:uid="{00000000-0004-0000-0100-000007000000}"/>
    <hyperlink ref="C16" r:id="rId9" xr:uid="{00000000-0004-0000-0100-000008000000}"/>
    <hyperlink ref="D18" r:id="rId10" xr:uid="{00000000-0004-0000-0100-000009000000}"/>
    <hyperlink ref="D20" r:id="rId11" xr:uid="{00000000-0004-0000-0100-00000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1"/>
  <sheetViews>
    <sheetView workbookViewId="0"/>
  </sheetViews>
  <sheetFormatPr defaultColWidth="12.5703125" defaultRowHeight="15.75" customHeight="1"/>
  <cols>
    <col min="1" max="1" width="1.28515625" customWidth="1"/>
    <col min="2" max="2" width="9.42578125" customWidth="1"/>
    <col min="3" max="3" width="14.7109375" customWidth="1"/>
    <col min="4" max="5" width="34.85546875" customWidth="1"/>
    <col min="6" max="6" width="1.28515625" customWidth="1"/>
  </cols>
  <sheetData>
    <row r="1" spans="1:6" ht="8.25" customHeight="1">
      <c r="A1" s="3"/>
      <c r="B1" s="4"/>
      <c r="C1" s="5"/>
      <c r="D1" s="6"/>
      <c r="E1" s="7"/>
      <c r="F1" s="8"/>
    </row>
    <row r="2" spans="1:6" ht="30" customHeight="1">
      <c r="A2" s="9"/>
      <c r="B2" s="123" t="s">
        <v>0</v>
      </c>
      <c r="C2" s="124"/>
      <c r="D2" s="124"/>
      <c r="E2" s="125"/>
      <c r="F2" s="10"/>
    </row>
    <row r="3" spans="1:6" ht="30" customHeight="1">
      <c r="A3" s="9"/>
      <c r="B3" s="32" t="s">
        <v>1</v>
      </c>
      <c r="C3" s="33" t="s">
        <v>2</v>
      </c>
      <c r="D3" s="33" t="s">
        <v>3</v>
      </c>
      <c r="E3" s="34" t="s">
        <v>4</v>
      </c>
      <c r="F3" s="14"/>
    </row>
    <row r="4" spans="1:6" ht="10.5" customHeight="1">
      <c r="A4" s="9"/>
      <c r="B4" s="138" t="s">
        <v>5</v>
      </c>
      <c r="C4" s="139" t="s">
        <v>6</v>
      </c>
      <c r="D4" s="108" t="s">
        <v>7</v>
      </c>
      <c r="E4" s="140" t="s">
        <v>8</v>
      </c>
      <c r="F4" s="14"/>
    </row>
    <row r="5" spans="1:6" ht="10.5" customHeight="1">
      <c r="A5" s="9"/>
      <c r="B5" s="135"/>
      <c r="C5" s="112"/>
      <c r="D5" s="116"/>
      <c r="E5" s="130"/>
      <c r="F5" s="17"/>
    </row>
    <row r="6" spans="1:6" ht="10.5" customHeight="1">
      <c r="A6" s="9"/>
      <c r="B6" s="135"/>
      <c r="C6" s="115" t="s">
        <v>9</v>
      </c>
      <c r="D6" s="112"/>
      <c r="E6" s="137"/>
      <c r="F6" s="17"/>
    </row>
    <row r="7" spans="1:6" ht="12" customHeight="1">
      <c r="A7" s="18"/>
      <c r="B7" s="133" t="s">
        <v>42</v>
      </c>
      <c r="C7" s="112"/>
      <c r="D7" s="122" t="s">
        <v>43</v>
      </c>
      <c r="E7" s="101" t="s">
        <v>12</v>
      </c>
      <c r="F7" s="20"/>
    </row>
    <row r="8" spans="1:6" ht="26.25" customHeight="1">
      <c r="A8" s="18"/>
      <c r="B8" s="135"/>
      <c r="C8" s="132" t="s">
        <v>13</v>
      </c>
      <c r="D8" s="112"/>
      <c r="E8" s="137"/>
      <c r="F8" s="21"/>
    </row>
    <row r="9" spans="1:6" ht="51.75" customHeight="1">
      <c r="A9" s="18"/>
      <c r="B9" s="36" t="s">
        <v>44</v>
      </c>
      <c r="C9" s="116"/>
      <c r="D9" s="99" t="s">
        <v>45</v>
      </c>
      <c r="E9" s="141" t="s">
        <v>46</v>
      </c>
      <c r="F9" s="21"/>
    </row>
    <row r="10" spans="1:6" ht="12.75">
      <c r="A10" s="18"/>
      <c r="B10" s="133" t="s">
        <v>47</v>
      </c>
      <c r="C10" s="112"/>
      <c r="D10" s="116"/>
      <c r="E10" s="130"/>
      <c r="F10" s="21"/>
    </row>
    <row r="11" spans="1:6" ht="12.75">
      <c r="A11" s="9"/>
      <c r="B11" s="135"/>
      <c r="C11" s="115" t="s">
        <v>18</v>
      </c>
      <c r="D11" s="112"/>
      <c r="E11" s="137"/>
      <c r="F11" s="14"/>
    </row>
    <row r="12" spans="1:6" ht="12.75">
      <c r="A12" s="9"/>
      <c r="B12" s="133" t="s">
        <v>48</v>
      </c>
      <c r="C12" s="112"/>
      <c r="D12" s="102" t="s">
        <v>49</v>
      </c>
      <c r="E12" s="109" t="s">
        <v>50</v>
      </c>
      <c r="F12" s="14"/>
    </row>
    <row r="13" spans="1:6" ht="12.75">
      <c r="A13" s="9"/>
      <c r="B13" s="135"/>
      <c r="C13" s="132" t="s">
        <v>22</v>
      </c>
      <c r="D13" s="112"/>
      <c r="E13" s="137"/>
      <c r="F13" s="14"/>
    </row>
    <row r="14" spans="1:6" ht="33.75">
      <c r="A14" s="9"/>
      <c r="B14" s="36" t="s">
        <v>51</v>
      </c>
      <c r="C14" s="116"/>
      <c r="D14" s="23"/>
      <c r="E14" s="37" t="s">
        <v>52</v>
      </c>
      <c r="F14" s="14"/>
    </row>
    <row r="15" spans="1:6" ht="12.75">
      <c r="A15" s="9"/>
      <c r="B15" s="133" t="s">
        <v>53</v>
      </c>
      <c r="C15" s="112"/>
      <c r="D15" s="102" t="s">
        <v>26</v>
      </c>
      <c r="E15" s="101"/>
      <c r="F15" s="14"/>
    </row>
    <row r="16" spans="1:6" ht="12.75">
      <c r="A16" s="9"/>
      <c r="B16" s="135"/>
      <c r="C16" s="132" t="s">
        <v>27</v>
      </c>
      <c r="D16" s="112"/>
      <c r="E16" s="137"/>
      <c r="F16" s="14"/>
    </row>
    <row r="17" spans="1:6" ht="33.75">
      <c r="A17" s="9"/>
      <c r="B17" s="36" t="s">
        <v>54</v>
      </c>
      <c r="C17" s="116"/>
      <c r="D17" s="23"/>
      <c r="E17" s="35" t="s">
        <v>55</v>
      </c>
      <c r="F17" s="14"/>
    </row>
    <row r="18" spans="1:6" ht="12.75">
      <c r="A18" s="9"/>
      <c r="B18" s="133" t="s">
        <v>56</v>
      </c>
      <c r="C18" s="116"/>
      <c r="D18" s="102" t="s">
        <v>26</v>
      </c>
      <c r="E18" s="101"/>
      <c r="F18" s="14"/>
    </row>
    <row r="19" spans="1:6" ht="12.75">
      <c r="A19" s="9"/>
      <c r="B19" s="134"/>
      <c r="C19" s="115" t="s">
        <v>18</v>
      </c>
      <c r="D19" s="112"/>
      <c r="E19" s="130"/>
      <c r="F19" s="14"/>
    </row>
    <row r="20" spans="1:6" ht="33" customHeight="1">
      <c r="A20" s="9"/>
      <c r="B20" s="133" t="s">
        <v>57</v>
      </c>
      <c r="C20" s="112"/>
      <c r="D20" s="99" t="s">
        <v>58</v>
      </c>
      <c r="E20" s="101" t="s">
        <v>59</v>
      </c>
      <c r="F20" s="14"/>
    </row>
    <row r="21" spans="1:6" ht="25.5" customHeight="1">
      <c r="A21" s="9"/>
      <c r="B21" s="134"/>
      <c r="C21" s="132" t="s">
        <v>34</v>
      </c>
      <c r="D21" s="112"/>
      <c r="E21" s="130"/>
      <c r="F21" s="14"/>
    </row>
    <row r="22" spans="1:6" ht="12.75">
      <c r="A22" s="9"/>
      <c r="B22" s="133" t="s">
        <v>60</v>
      </c>
      <c r="C22" s="112"/>
      <c r="D22" s="99" t="s">
        <v>61</v>
      </c>
      <c r="E22" s="101" t="s">
        <v>62</v>
      </c>
      <c r="F22" s="14"/>
    </row>
    <row r="23" spans="1:6" ht="35.25" customHeight="1">
      <c r="A23" s="9"/>
      <c r="B23" s="134"/>
      <c r="C23" s="132" t="s">
        <v>37</v>
      </c>
      <c r="D23" s="112"/>
      <c r="E23" s="130"/>
      <c r="F23" s="14"/>
    </row>
    <row r="24" spans="1:6" ht="24">
      <c r="A24" s="9"/>
      <c r="B24" s="36" t="s">
        <v>63</v>
      </c>
      <c r="C24" s="116"/>
      <c r="D24" s="23"/>
      <c r="E24" s="35" t="s">
        <v>64</v>
      </c>
      <c r="F24" s="14"/>
    </row>
    <row r="25" spans="1:6" ht="12.75">
      <c r="A25" s="9"/>
      <c r="B25" s="133" t="s">
        <v>65</v>
      </c>
      <c r="C25" s="112"/>
      <c r="D25" s="102" t="s">
        <v>66</v>
      </c>
      <c r="E25" s="101"/>
      <c r="F25" s="14"/>
    </row>
    <row r="26" spans="1:6" ht="9" customHeight="1">
      <c r="A26" s="9"/>
      <c r="B26" s="134"/>
      <c r="C26" s="132" t="s">
        <v>41</v>
      </c>
      <c r="D26" s="112"/>
      <c r="E26" s="130"/>
      <c r="F26" s="14"/>
    </row>
    <row r="27" spans="1:6" ht="24">
      <c r="A27" s="9"/>
      <c r="B27" s="36" t="s">
        <v>67</v>
      </c>
      <c r="C27" s="116"/>
      <c r="D27" s="23"/>
      <c r="E27" s="35" t="s">
        <v>68</v>
      </c>
      <c r="F27" s="14"/>
    </row>
    <row r="28" spans="1:6" ht="12.75">
      <c r="A28" s="9"/>
      <c r="B28" s="133" t="s">
        <v>69</v>
      </c>
      <c r="C28" s="112"/>
      <c r="D28" s="99" t="s">
        <v>70</v>
      </c>
      <c r="E28" s="101"/>
      <c r="F28" s="14"/>
    </row>
    <row r="29" spans="1:6" ht="27.75" customHeight="1">
      <c r="A29" s="9"/>
      <c r="B29" s="135"/>
      <c r="C29" s="115" t="s">
        <v>34</v>
      </c>
      <c r="D29" s="116"/>
      <c r="E29" s="130"/>
      <c r="F29" s="14"/>
    </row>
    <row r="30" spans="1:6" ht="12.75">
      <c r="A30" s="9"/>
      <c r="B30" s="136"/>
      <c r="C30" s="129"/>
      <c r="D30" s="129"/>
      <c r="E30" s="131"/>
      <c r="F30" s="14"/>
    </row>
    <row r="31" spans="1:6" ht="12.75">
      <c r="A31" s="29"/>
      <c r="B31" s="38"/>
      <c r="C31" s="38"/>
      <c r="D31" s="39"/>
      <c r="E31" s="39"/>
      <c r="F31" s="40"/>
    </row>
  </sheetData>
  <mergeCells count="42">
    <mergeCell ref="D7:D8"/>
    <mergeCell ref="E7:E8"/>
    <mergeCell ref="B2:E2"/>
    <mergeCell ref="B4:B6"/>
    <mergeCell ref="C4:C5"/>
    <mergeCell ref="D4:D6"/>
    <mergeCell ref="E4:E6"/>
    <mergeCell ref="C6:C7"/>
    <mergeCell ref="B7:B8"/>
    <mergeCell ref="C8:C10"/>
    <mergeCell ref="D9:D11"/>
    <mergeCell ref="E9:E11"/>
    <mergeCell ref="B10:B11"/>
    <mergeCell ref="D12:D13"/>
    <mergeCell ref="E12:E13"/>
    <mergeCell ref="D18:D19"/>
    <mergeCell ref="E18:E19"/>
    <mergeCell ref="B18:B19"/>
    <mergeCell ref="D15:D16"/>
    <mergeCell ref="E15:E16"/>
    <mergeCell ref="B20:B21"/>
    <mergeCell ref="B22:B23"/>
    <mergeCell ref="B25:B26"/>
    <mergeCell ref="B28:B30"/>
    <mergeCell ref="C11:C12"/>
    <mergeCell ref="C13:C15"/>
    <mergeCell ref="B15:B16"/>
    <mergeCell ref="C16:C18"/>
    <mergeCell ref="C19:C20"/>
    <mergeCell ref="C23:C25"/>
    <mergeCell ref="C26:C28"/>
    <mergeCell ref="B12:B13"/>
    <mergeCell ref="D28:D30"/>
    <mergeCell ref="E28:E30"/>
    <mergeCell ref="C29:C30"/>
    <mergeCell ref="D20:D21"/>
    <mergeCell ref="E20:E21"/>
    <mergeCell ref="C21:C22"/>
    <mergeCell ref="D22:D23"/>
    <mergeCell ref="E22:E23"/>
    <mergeCell ref="D25:D26"/>
    <mergeCell ref="E25:E26"/>
  </mergeCells>
  <phoneticPr fontId="52" type="noConversion"/>
  <hyperlinks>
    <hyperlink ref="D7" r:id="rId1" xr:uid="{00000000-0004-0000-0200-000000000000}"/>
    <hyperlink ref="C8" r:id="rId2" xr:uid="{00000000-0004-0000-0200-000001000000}"/>
    <hyperlink ref="D9" r:id="rId3" xr:uid="{00000000-0004-0000-0200-000002000000}"/>
    <hyperlink ref="E9" r:id="rId4" xr:uid="{00000000-0004-0000-0200-000003000000}"/>
    <hyperlink ref="D12" r:id="rId5" xr:uid="{00000000-0004-0000-0200-000004000000}"/>
    <hyperlink ref="E12" r:id="rId6" xr:uid="{00000000-0004-0000-0200-000005000000}"/>
    <hyperlink ref="C13" r:id="rId7" location="about" xr:uid="{00000000-0004-0000-0200-000006000000}"/>
    <hyperlink ref="D15" r:id="rId8" xr:uid="{00000000-0004-0000-0200-000007000000}"/>
    <hyperlink ref="C16" r:id="rId9" xr:uid="{00000000-0004-0000-0200-000008000000}"/>
    <hyperlink ref="D18" r:id="rId10" xr:uid="{00000000-0004-0000-0200-000009000000}"/>
    <hyperlink ref="D20" r:id="rId11" xr:uid="{00000000-0004-0000-0200-00000A000000}"/>
    <hyperlink ref="C21" r:id="rId12" xr:uid="{00000000-0004-0000-0200-00000B000000}"/>
    <hyperlink ref="C23" r:id="rId13" xr:uid="{00000000-0004-0000-0200-00000C000000}"/>
    <hyperlink ref="D25" r:id="rId14" xr:uid="{00000000-0004-0000-0200-00000D000000}"/>
    <hyperlink ref="C26" r:id="rId15" xr:uid="{00000000-0004-0000-0200-00000E000000}"/>
    <hyperlink ref="D28" r:id="rId16" xr:uid="{00000000-0004-0000-0200-00000F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0"/>
  <sheetViews>
    <sheetView workbookViewId="0"/>
  </sheetViews>
  <sheetFormatPr defaultColWidth="12.5703125" defaultRowHeight="15.75" customHeight="1"/>
  <cols>
    <col min="1" max="1" width="1.28515625" customWidth="1"/>
    <col min="2" max="2" width="9.42578125" customWidth="1"/>
    <col min="3" max="3" width="14.7109375" customWidth="1"/>
    <col min="4" max="4" width="37.5703125" customWidth="1"/>
    <col min="5" max="5" width="31.42578125" customWidth="1"/>
    <col min="6" max="6" width="1.28515625" customWidth="1"/>
  </cols>
  <sheetData>
    <row r="1" spans="1:6" ht="8.25" customHeight="1">
      <c r="A1" s="3"/>
      <c r="B1" s="4"/>
      <c r="C1" s="5"/>
      <c r="D1" s="6"/>
      <c r="E1" s="7"/>
      <c r="F1" s="8"/>
    </row>
    <row r="2" spans="1:6" ht="18" customHeight="1">
      <c r="A2" s="9"/>
      <c r="B2" s="123" t="s">
        <v>73</v>
      </c>
      <c r="C2" s="124"/>
      <c r="D2" s="124"/>
      <c r="E2" s="125"/>
      <c r="F2" s="10"/>
    </row>
    <row r="3" spans="1:6" ht="20.25" customHeight="1">
      <c r="A3" s="9"/>
      <c r="B3" s="32" t="s">
        <v>1</v>
      </c>
      <c r="C3" s="33" t="s">
        <v>2</v>
      </c>
      <c r="D3" s="33" t="s">
        <v>3</v>
      </c>
      <c r="E3" s="34" t="s">
        <v>4</v>
      </c>
      <c r="F3" s="14"/>
    </row>
    <row r="4" spans="1:6" ht="73.5" customHeight="1">
      <c r="A4" s="9"/>
      <c r="B4" s="147" t="s">
        <v>74</v>
      </c>
      <c r="C4" s="44" t="s">
        <v>34</v>
      </c>
      <c r="D4" s="108" t="s">
        <v>75</v>
      </c>
      <c r="E4" s="148" t="s">
        <v>76</v>
      </c>
      <c r="F4" s="14"/>
    </row>
    <row r="5" spans="1:6" ht="42.75" customHeight="1">
      <c r="A5" s="9"/>
      <c r="B5" s="135"/>
      <c r="C5" s="115" t="s">
        <v>77</v>
      </c>
      <c r="D5" s="112"/>
      <c r="E5" s="137"/>
      <c r="F5" s="17"/>
    </row>
    <row r="6" spans="1:6" ht="33.75">
      <c r="A6" s="18"/>
      <c r="B6" s="45" t="s">
        <v>78</v>
      </c>
      <c r="C6" s="116"/>
      <c r="D6" s="16"/>
      <c r="E6" s="37" t="s">
        <v>79</v>
      </c>
      <c r="F6" s="20"/>
    </row>
    <row r="7" spans="1:6" ht="12.75">
      <c r="A7" s="9"/>
      <c r="B7" s="145" t="s">
        <v>80</v>
      </c>
      <c r="C7" s="112"/>
      <c r="D7" s="98" t="s">
        <v>81</v>
      </c>
      <c r="E7" s="101" t="s">
        <v>82</v>
      </c>
      <c r="F7" s="14"/>
    </row>
    <row r="8" spans="1:6" ht="12.75">
      <c r="A8" s="9"/>
      <c r="B8" s="135"/>
      <c r="C8" s="23" t="s">
        <v>83</v>
      </c>
      <c r="D8" s="112"/>
      <c r="E8" s="130"/>
      <c r="F8" s="14"/>
    </row>
    <row r="9" spans="1:6" ht="24">
      <c r="A9" s="9"/>
      <c r="B9" s="146" t="s">
        <v>84</v>
      </c>
      <c r="C9" s="23" t="s">
        <v>85</v>
      </c>
      <c r="D9" s="46" t="s">
        <v>85</v>
      </c>
      <c r="E9" s="37"/>
      <c r="F9" s="14"/>
    </row>
    <row r="10" spans="1:6" ht="36">
      <c r="A10" s="9"/>
      <c r="B10" s="135"/>
      <c r="C10" s="47" t="s">
        <v>86</v>
      </c>
      <c r="D10" s="48" t="s">
        <v>86</v>
      </c>
      <c r="E10" s="37" t="s">
        <v>87</v>
      </c>
      <c r="F10" s="14"/>
    </row>
    <row r="11" spans="1:6" ht="24">
      <c r="A11" s="9"/>
      <c r="B11" s="135"/>
      <c r="C11" s="47" t="s">
        <v>88</v>
      </c>
      <c r="D11" s="49" t="s">
        <v>89</v>
      </c>
      <c r="E11" s="37" t="s">
        <v>90</v>
      </c>
      <c r="F11" s="14"/>
    </row>
    <row r="12" spans="1:6" ht="24">
      <c r="A12" s="9"/>
      <c r="B12" s="135"/>
      <c r="C12" s="50" t="s">
        <v>91</v>
      </c>
      <c r="D12" s="51" t="s">
        <v>91</v>
      </c>
      <c r="E12" s="35"/>
      <c r="F12" s="14"/>
    </row>
    <row r="13" spans="1:6" ht="24">
      <c r="A13" s="9"/>
      <c r="B13" s="135"/>
      <c r="C13" s="23" t="s">
        <v>92</v>
      </c>
      <c r="D13" s="52" t="s">
        <v>93</v>
      </c>
      <c r="E13" s="35"/>
      <c r="F13" s="14"/>
    </row>
    <row r="14" spans="1:6" ht="12.75">
      <c r="A14" s="9"/>
      <c r="B14" s="53">
        <v>0.79166666666666663</v>
      </c>
      <c r="C14" s="115" t="s">
        <v>83</v>
      </c>
      <c r="D14" s="23"/>
      <c r="E14" s="141" t="s">
        <v>94</v>
      </c>
      <c r="F14" s="14"/>
    </row>
    <row r="15" spans="1:6" ht="21" customHeight="1">
      <c r="A15" s="9"/>
      <c r="B15" s="142" t="s">
        <v>95</v>
      </c>
      <c r="C15" s="112"/>
      <c r="D15" s="144" t="s">
        <v>96</v>
      </c>
      <c r="E15" s="130"/>
      <c r="F15" s="14"/>
    </row>
    <row r="16" spans="1:6" ht="39" customHeight="1">
      <c r="A16" s="54"/>
      <c r="B16" s="135"/>
      <c r="C16" s="115" t="s">
        <v>97</v>
      </c>
      <c r="D16" s="116"/>
      <c r="E16" s="55"/>
      <c r="F16" s="56"/>
    </row>
    <row r="17" spans="1:6" ht="24">
      <c r="A17" s="9"/>
      <c r="B17" s="45" t="s">
        <v>98</v>
      </c>
      <c r="C17" s="116"/>
      <c r="D17" s="57"/>
      <c r="E17" s="35" t="s">
        <v>99</v>
      </c>
      <c r="F17" s="14"/>
    </row>
    <row r="18" spans="1:6" ht="12.75">
      <c r="A18" s="9"/>
      <c r="B18" s="143">
        <v>0.875</v>
      </c>
      <c r="C18" s="112"/>
      <c r="D18" s="99" t="s">
        <v>100</v>
      </c>
      <c r="E18" s="101"/>
      <c r="F18" s="14"/>
    </row>
    <row r="19" spans="1:6" ht="36" customHeight="1">
      <c r="A19" s="9"/>
      <c r="B19" s="136"/>
      <c r="C19" s="43" t="s">
        <v>34</v>
      </c>
      <c r="D19" s="129"/>
      <c r="E19" s="131"/>
      <c r="F19" s="14"/>
    </row>
    <row r="20" spans="1:6" ht="12.75">
      <c r="A20" s="29"/>
      <c r="B20" s="38"/>
      <c r="C20" s="38"/>
      <c r="D20" s="39" t="s">
        <v>101</v>
      </c>
      <c r="E20" s="39"/>
      <c r="F20" s="40"/>
    </row>
  </sheetData>
  <mergeCells count="17">
    <mergeCell ref="B7:B8"/>
    <mergeCell ref="B9:B13"/>
    <mergeCell ref="C14:C15"/>
    <mergeCell ref="B2:E2"/>
    <mergeCell ref="B4:B5"/>
    <mergeCell ref="D4:D5"/>
    <mergeCell ref="E4:E5"/>
    <mergeCell ref="C5:C7"/>
    <mergeCell ref="D7:D8"/>
    <mergeCell ref="E7:E8"/>
    <mergeCell ref="E14:E15"/>
    <mergeCell ref="B15:B16"/>
    <mergeCell ref="C16:C18"/>
    <mergeCell ref="B18:B19"/>
    <mergeCell ref="E18:E19"/>
    <mergeCell ref="D15:D16"/>
    <mergeCell ref="D18:D19"/>
  </mergeCells>
  <phoneticPr fontId="52" type="noConversion"/>
  <hyperlinks>
    <hyperlink ref="D9" r:id="rId1" xr:uid="{00000000-0004-0000-0400-000000000000}"/>
    <hyperlink ref="D10" r:id="rId2" xr:uid="{00000000-0004-0000-0400-000001000000}"/>
    <hyperlink ref="D11" r:id="rId3" xr:uid="{00000000-0004-0000-0400-000002000000}"/>
    <hyperlink ref="D12" r:id="rId4" xr:uid="{00000000-0004-0000-0400-000003000000}"/>
    <hyperlink ref="D13" r:id="rId5" xr:uid="{00000000-0004-0000-0400-000004000000}"/>
    <hyperlink ref="E14" r:id="rId6" xr:uid="{00000000-0004-0000-0400-000005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24"/>
  <sheetViews>
    <sheetView workbookViewId="0"/>
  </sheetViews>
  <sheetFormatPr defaultColWidth="12.5703125" defaultRowHeight="15.75" customHeight="1"/>
  <cols>
    <col min="1" max="1" width="1.28515625" customWidth="1"/>
    <col min="2" max="2" width="9.42578125" customWidth="1"/>
    <col min="3" max="3" width="14.7109375" customWidth="1"/>
    <col min="4" max="4" width="37.5703125" customWidth="1"/>
    <col min="5" max="5" width="31.42578125" customWidth="1"/>
    <col min="6" max="6" width="1.28515625" customWidth="1"/>
  </cols>
  <sheetData>
    <row r="1" spans="1:6" ht="8.25" customHeight="1">
      <c r="A1" s="3"/>
      <c r="B1" s="4"/>
      <c r="C1" s="5"/>
      <c r="D1" s="6"/>
      <c r="E1" s="7"/>
      <c r="F1" s="8"/>
    </row>
    <row r="2" spans="1:6" ht="30" customHeight="1">
      <c r="A2" s="9"/>
      <c r="B2" s="123" t="s">
        <v>102</v>
      </c>
      <c r="C2" s="124"/>
      <c r="D2" s="124"/>
      <c r="E2" s="125"/>
      <c r="F2" s="10"/>
    </row>
    <row r="3" spans="1:6" ht="30" customHeight="1">
      <c r="A3" s="9"/>
      <c r="B3" s="32" t="s">
        <v>1</v>
      </c>
      <c r="C3" s="33" t="s">
        <v>2</v>
      </c>
      <c r="D3" s="33" t="s">
        <v>3</v>
      </c>
      <c r="E3" s="34" t="s">
        <v>4</v>
      </c>
      <c r="F3" s="14"/>
    </row>
    <row r="4" spans="1:6" ht="45.75" customHeight="1">
      <c r="A4" s="9"/>
      <c r="B4" s="147" t="s">
        <v>103</v>
      </c>
      <c r="C4" s="44" t="s">
        <v>34</v>
      </c>
      <c r="D4" s="150" t="s">
        <v>104</v>
      </c>
      <c r="E4" s="140" t="s">
        <v>105</v>
      </c>
      <c r="F4" s="14"/>
    </row>
    <row r="5" spans="1:6" ht="21.75" customHeight="1">
      <c r="A5" s="9"/>
      <c r="B5" s="135"/>
      <c r="C5" s="121" t="s">
        <v>106</v>
      </c>
      <c r="D5" s="112"/>
      <c r="E5" s="137"/>
      <c r="F5" s="17"/>
    </row>
    <row r="6" spans="1:6" ht="24">
      <c r="A6" s="18"/>
      <c r="B6" s="45" t="s">
        <v>107</v>
      </c>
      <c r="C6" s="116"/>
      <c r="D6" s="16"/>
      <c r="E6" s="37" t="s">
        <v>108</v>
      </c>
      <c r="F6" s="20"/>
    </row>
    <row r="7" spans="1:6" ht="12.75">
      <c r="A7" s="9"/>
      <c r="B7" s="143">
        <v>0.41666666666666669</v>
      </c>
      <c r="C7" s="112"/>
      <c r="D7" s="151" t="s">
        <v>109</v>
      </c>
      <c r="E7" s="101" t="s">
        <v>82</v>
      </c>
      <c r="F7" s="14"/>
    </row>
    <row r="8" spans="1:6" ht="12.75">
      <c r="A8" s="9"/>
      <c r="B8" s="135"/>
      <c r="C8" s="115" t="s">
        <v>110</v>
      </c>
      <c r="D8" s="112"/>
      <c r="E8" s="130"/>
      <c r="F8" s="14"/>
    </row>
    <row r="9" spans="1:6" ht="24">
      <c r="A9" s="9"/>
      <c r="B9" s="45" t="s">
        <v>111</v>
      </c>
      <c r="C9" s="116"/>
      <c r="D9" s="41"/>
      <c r="E9" s="35" t="s">
        <v>112</v>
      </c>
      <c r="F9" s="14"/>
    </row>
    <row r="10" spans="1:6" ht="12.75">
      <c r="A10" s="9"/>
      <c r="B10" s="152" t="s">
        <v>113</v>
      </c>
      <c r="C10" s="112"/>
      <c r="D10" s="102" t="s">
        <v>66</v>
      </c>
      <c r="E10" s="101" t="s">
        <v>114</v>
      </c>
      <c r="F10" s="14"/>
    </row>
    <row r="11" spans="1:6" ht="12.75">
      <c r="A11" s="9"/>
      <c r="B11" s="135"/>
      <c r="C11" s="115" t="s">
        <v>115</v>
      </c>
      <c r="D11" s="112"/>
      <c r="E11" s="130"/>
      <c r="F11" s="14"/>
    </row>
    <row r="12" spans="1:6" ht="12.75">
      <c r="A12" s="9"/>
      <c r="B12" s="135"/>
      <c r="C12" s="116"/>
      <c r="D12" s="102" t="s">
        <v>116</v>
      </c>
      <c r="E12" s="100"/>
      <c r="F12" s="14"/>
    </row>
    <row r="13" spans="1:6" ht="12.75">
      <c r="A13" s="9"/>
      <c r="B13" s="135"/>
      <c r="C13" s="115" t="s">
        <v>117</v>
      </c>
      <c r="D13" s="112"/>
      <c r="E13" s="130"/>
      <c r="F13" s="14"/>
    </row>
    <row r="14" spans="1:6" ht="28.5" customHeight="1">
      <c r="A14" s="9"/>
      <c r="B14" s="149" t="s">
        <v>118</v>
      </c>
      <c r="C14" s="112"/>
      <c r="D14" s="105" t="s">
        <v>119</v>
      </c>
      <c r="E14" s="42"/>
      <c r="F14" s="14"/>
    </row>
    <row r="15" spans="1:6" ht="36.75" customHeight="1">
      <c r="A15" s="54"/>
      <c r="B15" s="135"/>
      <c r="C15" s="115" t="s">
        <v>120</v>
      </c>
      <c r="D15" s="116"/>
      <c r="E15" s="58" t="s">
        <v>121</v>
      </c>
      <c r="F15" s="56"/>
    </row>
    <row r="16" spans="1:6" ht="12.75">
      <c r="A16" s="9"/>
      <c r="B16" s="149" t="s">
        <v>122</v>
      </c>
      <c r="C16" s="116"/>
      <c r="D16" s="102" t="s">
        <v>123</v>
      </c>
      <c r="E16" s="35"/>
      <c r="F16" s="14"/>
    </row>
    <row r="17" spans="1:6" ht="12.75">
      <c r="A17" s="9"/>
      <c r="B17" s="135"/>
      <c r="C17" s="115" t="s">
        <v>124</v>
      </c>
      <c r="D17" s="112"/>
      <c r="E17" s="35"/>
      <c r="F17" s="14"/>
    </row>
    <row r="18" spans="1:6" ht="33.75">
      <c r="A18" s="9"/>
      <c r="B18" s="45" t="s">
        <v>125</v>
      </c>
      <c r="C18" s="116"/>
      <c r="D18" s="16"/>
      <c r="E18" s="35" t="s">
        <v>126</v>
      </c>
      <c r="F18" s="14"/>
    </row>
    <row r="19" spans="1:6" ht="12.75">
      <c r="A19" s="9"/>
      <c r="B19" s="149" t="s">
        <v>127</v>
      </c>
      <c r="C19" s="116"/>
      <c r="D19" s="102" t="s">
        <v>128</v>
      </c>
      <c r="E19" s="101" t="s">
        <v>82</v>
      </c>
      <c r="F19" s="14"/>
    </row>
    <row r="20" spans="1:6" ht="35.25" customHeight="1">
      <c r="A20" s="9"/>
      <c r="B20" s="135"/>
      <c r="C20" s="115" t="s">
        <v>129</v>
      </c>
      <c r="D20" s="116"/>
      <c r="E20" s="130"/>
      <c r="F20" s="14"/>
    </row>
    <row r="21" spans="1:6" ht="91.5" customHeight="1">
      <c r="A21" s="9"/>
      <c r="B21" s="45" t="s">
        <v>130</v>
      </c>
      <c r="C21" s="116"/>
      <c r="D21" s="116"/>
      <c r="E21" s="130"/>
      <c r="F21" s="14"/>
    </row>
    <row r="22" spans="1:6" ht="12.75">
      <c r="A22" s="9"/>
      <c r="B22" s="59" t="s">
        <v>131</v>
      </c>
      <c r="C22" s="15" t="s">
        <v>132</v>
      </c>
      <c r="D22" s="16"/>
      <c r="E22" s="35" t="s">
        <v>133</v>
      </c>
      <c r="F22" s="14"/>
    </row>
    <row r="23" spans="1:6" ht="36" customHeight="1">
      <c r="A23" s="9"/>
      <c r="B23" s="60" t="s">
        <v>134</v>
      </c>
      <c r="C23" s="43" t="s">
        <v>9</v>
      </c>
      <c r="D23" s="61" t="s">
        <v>135</v>
      </c>
      <c r="E23" s="62"/>
      <c r="F23" s="14"/>
    </row>
    <row r="24" spans="1:6" ht="12.75">
      <c r="A24" s="29"/>
      <c r="B24" s="38"/>
      <c r="C24" s="38"/>
      <c r="D24" s="39"/>
      <c r="E24" s="39"/>
      <c r="F24" s="40"/>
    </row>
  </sheetData>
  <mergeCells count="26">
    <mergeCell ref="C11:C12"/>
    <mergeCell ref="C13:C14"/>
    <mergeCell ref="E19:E21"/>
    <mergeCell ref="C20:C21"/>
    <mergeCell ref="B2:E2"/>
    <mergeCell ref="B4:B5"/>
    <mergeCell ref="D4:D5"/>
    <mergeCell ref="E4:E5"/>
    <mergeCell ref="B7:B8"/>
    <mergeCell ref="D7:D8"/>
    <mergeCell ref="E7:E8"/>
    <mergeCell ref="C5:C7"/>
    <mergeCell ref="C8:C10"/>
    <mergeCell ref="B10:B13"/>
    <mergeCell ref="D10:D11"/>
    <mergeCell ref="E10:E11"/>
    <mergeCell ref="D12:D13"/>
    <mergeCell ref="E12:E13"/>
    <mergeCell ref="B14:B15"/>
    <mergeCell ref="D14:D15"/>
    <mergeCell ref="C15:C16"/>
    <mergeCell ref="D16:D17"/>
    <mergeCell ref="C17:C19"/>
    <mergeCell ref="B16:B17"/>
    <mergeCell ref="B19:B20"/>
    <mergeCell ref="D19:D21"/>
  </mergeCells>
  <phoneticPr fontId="52" type="noConversion"/>
  <hyperlinks>
    <hyperlink ref="D4" r:id="rId1" xr:uid="{00000000-0004-0000-0500-000000000000}"/>
    <hyperlink ref="C5" r:id="rId2" xr:uid="{00000000-0004-0000-0500-000001000000}"/>
    <hyperlink ref="D10" r:id="rId3" xr:uid="{00000000-0004-0000-0500-000002000000}"/>
    <hyperlink ref="D12" r:id="rId4" xr:uid="{00000000-0004-0000-0500-000003000000}"/>
    <hyperlink ref="E15" r:id="rId5" xr:uid="{00000000-0004-0000-0500-000004000000}"/>
    <hyperlink ref="D16" r:id="rId6" xr:uid="{00000000-0004-0000-0500-000005000000}"/>
    <hyperlink ref="D19" r:id="rId7" xr:uid="{00000000-0004-0000-0500-000006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34"/>
  <sheetViews>
    <sheetView workbookViewId="0"/>
  </sheetViews>
  <sheetFormatPr defaultColWidth="12.5703125" defaultRowHeight="15.75" customHeight="1"/>
  <sheetData>
    <row r="1" spans="1:2">
      <c r="A1" s="63" t="s">
        <v>136</v>
      </c>
      <c r="B1" s="63" t="s">
        <v>137</v>
      </c>
    </row>
    <row r="2" spans="1:2">
      <c r="A2" s="63" t="s">
        <v>138</v>
      </c>
      <c r="B2" s="63" t="s">
        <v>137</v>
      </c>
    </row>
    <row r="3" spans="1:2">
      <c r="A3" s="63" t="s">
        <v>139</v>
      </c>
      <c r="B3" s="63" t="s">
        <v>137</v>
      </c>
    </row>
    <row r="4" spans="1:2">
      <c r="A4" s="63" t="s">
        <v>140</v>
      </c>
      <c r="B4" s="63" t="s">
        <v>137</v>
      </c>
    </row>
    <row r="5" spans="1:2">
      <c r="A5" s="63" t="s">
        <v>141</v>
      </c>
      <c r="B5" s="63" t="s">
        <v>137</v>
      </c>
    </row>
    <row r="6" spans="1:2">
      <c r="A6" s="63" t="s">
        <v>142</v>
      </c>
      <c r="B6" s="63" t="s">
        <v>137</v>
      </c>
    </row>
    <row r="7" spans="1:2">
      <c r="A7" s="63" t="s">
        <v>143</v>
      </c>
      <c r="B7" s="63" t="s">
        <v>137</v>
      </c>
    </row>
    <row r="8" spans="1:2">
      <c r="A8" s="63" t="s">
        <v>144</v>
      </c>
      <c r="B8" s="63" t="s">
        <v>137</v>
      </c>
    </row>
    <row r="9" spans="1:2">
      <c r="A9" s="63" t="s">
        <v>145</v>
      </c>
      <c r="B9" s="63" t="s">
        <v>137</v>
      </c>
    </row>
    <row r="10" spans="1:2">
      <c r="A10" s="63" t="s">
        <v>146</v>
      </c>
      <c r="B10" s="63" t="s">
        <v>137</v>
      </c>
    </row>
    <row r="11" spans="1:2">
      <c r="A11" s="63" t="s">
        <v>147</v>
      </c>
      <c r="B11" s="63" t="s">
        <v>137</v>
      </c>
    </row>
    <row r="12" spans="1:2">
      <c r="A12" s="63" t="s">
        <v>148</v>
      </c>
      <c r="B12" s="63" t="s">
        <v>137</v>
      </c>
    </row>
    <row r="13" spans="1:2">
      <c r="A13" s="63" t="s">
        <v>149</v>
      </c>
      <c r="B13" s="63" t="s">
        <v>137</v>
      </c>
    </row>
    <row r="14" spans="1:2">
      <c r="A14" s="63" t="s">
        <v>150</v>
      </c>
      <c r="B14" s="63" t="s">
        <v>137</v>
      </c>
    </row>
    <row r="15" spans="1:2">
      <c r="A15" s="63" t="s">
        <v>151</v>
      </c>
      <c r="B15" s="63" t="s">
        <v>137</v>
      </c>
    </row>
    <row r="16" spans="1:2">
      <c r="A16" s="63" t="s">
        <v>152</v>
      </c>
      <c r="B16" s="63" t="s">
        <v>137</v>
      </c>
    </row>
    <row r="17" spans="1:2">
      <c r="A17" s="63" t="s">
        <v>153</v>
      </c>
      <c r="B17" s="63" t="s">
        <v>137</v>
      </c>
    </row>
    <row r="18" spans="1:2">
      <c r="A18" s="63" t="s">
        <v>154</v>
      </c>
      <c r="B18" s="63" t="s">
        <v>137</v>
      </c>
    </row>
    <row r="19" spans="1:2">
      <c r="A19" s="63" t="s">
        <v>155</v>
      </c>
      <c r="B19" s="63" t="s">
        <v>137</v>
      </c>
    </row>
    <row r="20" spans="1:2">
      <c r="A20" s="63" t="s">
        <v>156</v>
      </c>
      <c r="B20" s="63" t="s">
        <v>137</v>
      </c>
    </row>
    <row r="21" spans="1:2">
      <c r="A21" s="63" t="s">
        <v>157</v>
      </c>
      <c r="B21" s="63" t="s">
        <v>137</v>
      </c>
    </row>
    <row r="22" spans="1:2">
      <c r="A22" s="63" t="s">
        <v>158</v>
      </c>
      <c r="B22" s="63" t="s">
        <v>137</v>
      </c>
    </row>
    <row r="23" spans="1:2">
      <c r="A23" s="63" t="s">
        <v>159</v>
      </c>
      <c r="B23" s="63" t="s">
        <v>137</v>
      </c>
    </row>
    <row r="24" spans="1:2">
      <c r="A24" s="63" t="s">
        <v>160</v>
      </c>
      <c r="B24" s="63" t="s">
        <v>137</v>
      </c>
    </row>
    <row r="25" spans="1:2">
      <c r="A25" s="63" t="s">
        <v>161</v>
      </c>
      <c r="B25" s="63" t="s">
        <v>137</v>
      </c>
    </row>
    <row r="26" spans="1:2">
      <c r="A26" s="63" t="s">
        <v>162</v>
      </c>
      <c r="B26" s="63" t="s">
        <v>137</v>
      </c>
    </row>
    <row r="27" spans="1:2">
      <c r="A27" s="63" t="s">
        <v>163</v>
      </c>
      <c r="B27" s="63" t="s">
        <v>137</v>
      </c>
    </row>
    <row r="28" spans="1:2">
      <c r="A28" s="63" t="s">
        <v>164</v>
      </c>
      <c r="B28" s="63" t="s">
        <v>137</v>
      </c>
    </row>
    <row r="29" spans="1:2">
      <c r="A29" s="63" t="s">
        <v>165</v>
      </c>
      <c r="B29" s="63" t="s">
        <v>137</v>
      </c>
    </row>
    <row r="30" spans="1:2">
      <c r="A30" s="63" t="s">
        <v>166</v>
      </c>
      <c r="B30" s="63" t="s">
        <v>137</v>
      </c>
    </row>
    <row r="31" spans="1:2">
      <c r="A31" s="63" t="s">
        <v>167</v>
      </c>
      <c r="B31" s="63" t="s">
        <v>137</v>
      </c>
    </row>
    <row r="32" spans="1:2">
      <c r="A32" s="63" t="s">
        <v>168</v>
      </c>
      <c r="B32" s="63" t="s">
        <v>137</v>
      </c>
    </row>
    <row r="33" spans="1:2">
      <c r="A33" s="63" t="s">
        <v>169</v>
      </c>
      <c r="B33" s="63" t="s">
        <v>137</v>
      </c>
    </row>
    <row r="34" spans="1:2">
      <c r="A34" s="63" t="s">
        <v>170</v>
      </c>
      <c r="B34" s="63" t="s">
        <v>137</v>
      </c>
    </row>
  </sheetData>
  <autoFilter ref="A1:A35" xr:uid="{00000000-0009-0000-0000-000006000000}"/>
  <phoneticPr fontId="5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3"/>
  <sheetViews>
    <sheetView workbookViewId="0"/>
  </sheetViews>
  <sheetFormatPr defaultColWidth="12.5703125" defaultRowHeight="15.75" customHeight="1"/>
  <cols>
    <col min="1" max="1" width="2.42578125" customWidth="1"/>
    <col min="2" max="3" width="40" customWidth="1"/>
    <col min="4" max="4" width="2.42578125" customWidth="1"/>
  </cols>
  <sheetData>
    <row r="1" spans="1:4" ht="15">
      <c r="A1" s="1"/>
      <c r="B1" s="1"/>
      <c r="C1" s="1"/>
      <c r="D1" s="1"/>
    </row>
    <row r="2" spans="1:4" ht="18.75" customHeight="1">
      <c r="A2" s="1"/>
      <c r="B2" s="32" t="s">
        <v>171</v>
      </c>
      <c r="C2" s="34" t="s">
        <v>4</v>
      </c>
      <c r="D2" s="1"/>
    </row>
    <row r="3" spans="1:4" ht="15">
      <c r="A3" s="64"/>
      <c r="B3" s="67" t="s">
        <v>172</v>
      </c>
      <c r="C3" s="68"/>
      <c r="D3" s="2"/>
    </row>
    <row r="4" spans="1:4" ht="15">
      <c r="A4" s="64"/>
      <c r="B4" s="69" t="s">
        <v>173</v>
      </c>
      <c r="C4" s="70"/>
      <c r="D4" s="2"/>
    </row>
    <row r="5" spans="1:4" ht="15">
      <c r="A5" s="64"/>
      <c r="B5" s="69" t="s">
        <v>174</v>
      </c>
      <c r="C5" s="70" t="s">
        <v>175</v>
      </c>
      <c r="D5" s="2"/>
    </row>
    <row r="6" spans="1:4" ht="15">
      <c r="A6" s="64"/>
      <c r="B6" s="69" t="s">
        <v>176</v>
      </c>
      <c r="C6" s="70" t="s">
        <v>175</v>
      </c>
      <c r="D6" s="2"/>
    </row>
    <row r="7" spans="1:4" ht="15">
      <c r="A7" s="64"/>
      <c r="B7" s="69" t="s">
        <v>177</v>
      </c>
      <c r="C7" s="70"/>
      <c r="D7" s="2"/>
    </row>
    <row r="8" spans="1:4" ht="15">
      <c r="A8" s="64"/>
      <c r="B8" s="69" t="s">
        <v>178</v>
      </c>
      <c r="C8" s="70"/>
      <c r="D8" s="2"/>
    </row>
    <row r="9" spans="1:4" ht="15">
      <c r="A9" s="64"/>
      <c r="B9" s="71" t="s">
        <v>179</v>
      </c>
      <c r="C9" s="72"/>
      <c r="D9" s="2"/>
    </row>
    <row r="10" spans="1:4" ht="15">
      <c r="A10" s="64"/>
      <c r="B10" s="73" t="s">
        <v>180</v>
      </c>
      <c r="C10" s="74"/>
      <c r="D10" s="2"/>
    </row>
    <row r="11" spans="1:4" ht="15">
      <c r="A11" s="64"/>
      <c r="B11" s="73" t="s">
        <v>181</v>
      </c>
      <c r="C11" s="74"/>
      <c r="D11" s="2"/>
    </row>
    <row r="12" spans="1:4" ht="15">
      <c r="A12" s="64"/>
      <c r="B12" s="75"/>
      <c r="C12" s="76"/>
      <c r="D12" s="2"/>
    </row>
    <row r="13" spans="1:4" ht="409.6" customHeight="1">
      <c r="A13" s="1"/>
      <c r="B13" s="66"/>
      <c r="C13" s="66"/>
      <c r="D13" s="1"/>
    </row>
  </sheetData>
  <phoneticPr fontId="5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33"/>
  <sheetViews>
    <sheetView tabSelected="1" topLeftCell="A3" workbookViewId="0">
      <selection activeCell="F8" sqref="F8"/>
    </sheetView>
  </sheetViews>
  <sheetFormatPr defaultColWidth="12.5703125" defaultRowHeight="15.75" customHeight="1"/>
  <cols>
    <col min="1" max="1" width="2.42578125" customWidth="1"/>
    <col min="2" max="2" width="21.85546875" customWidth="1"/>
    <col min="3" max="3" width="12.140625" customWidth="1"/>
    <col min="4" max="4" width="2.42578125" customWidth="1"/>
    <col min="5" max="5" width="21.85546875" customWidth="1"/>
    <col min="6" max="6" width="12.140625" customWidth="1"/>
    <col min="7" max="7" width="2.42578125" customWidth="1"/>
    <col min="8" max="8" width="21.85546875" customWidth="1"/>
    <col min="9" max="9" width="2.42578125" customWidth="1"/>
  </cols>
  <sheetData>
    <row r="1" spans="1:9" ht="15">
      <c r="A1" s="1"/>
      <c r="B1" s="1"/>
      <c r="C1" s="1"/>
      <c r="D1" s="1"/>
      <c r="E1" s="1"/>
      <c r="F1" s="77"/>
      <c r="G1" s="1"/>
      <c r="H1" s="1"/>
      <c r="I1" s="1"/>
    </row>
    <row r="2" spans="1:9" ht="29.25" customHeight="1">
      <c r="A2" s="1"/>
      <c r="B2" s="78" t="s">
        <v>182</v>
      </c>
      <c r="C2" s="78"/>
      <c r="D2" s="78"/>
      <c r="E2" s="78" t="s">
        <v>183</v>
      </c>
      <c r="F2" s="1"/>
      <c r="G2" s="1"/>
      <c r="H2" s="65" t="s">
        <v>184</v>
      </c>
      <c r="I2" s="1"/>
    </row>
    <row r="3" spans="1:9" ht="18.75" customHeight="1">
      <c r="A3" s="1"/>
      <c r="B3" s="32" t="s">
        <v>185</v>
      </c>
      <c r="C3" s="34" t="s">
        <v>186</v>
      </c>
      <c r="D3" s="1"/>
      <c r="E3" s="32" t="s">
        <v>185</v>
      </c>
      <c r="F3" s="34" t="s">
        <v>186</v>
      </c>
      <c r="G3" s="64"/>
      <c r="H3" s="79">
        <f>SUM(C4:C33)</f>
        <v>10660</v>
      </c>
      <c r="I3" s="2"/>
    </row>
    <row r="4" spans="1:9" ht="15">
      <c r="A4" s="64"/>
      <c r="B4" s="67" t="s">
        <v>187</v>
      </c>
      <c r="C4" s="80">
        <v>5660</v>
      </c>
      <c r="D4" s="2"/>
      <c r="E4" s="67" t="s">
        <v>188</v>
      </c>
      <c r="F4" s="81">
        <v>23450</v>
      </c>
      <c r="G4" s="2"/>
      <c r="H4" s="66"/>
      <c r="I4" s="2"/>
    </row>
    <row r="5" spans="1:9" ht="15">
      <c r="A5" s="64"/>
      <c r="B5" s="69" t="s">
        <v>189</v>
      </c>
      <c r="C5" s="82">
        <v>5000</v>
      </c>
      <c r="D5" s="2"/>
      <c r="E5" s="69" t="s">
        <v>193</v>
      </c>
      <c r="F5" s="83">
        <v>2200</v>
      </c>
      <c r="G5" s="2"/>
      <c r="H5" s="65" t="s">
        <v>190</v>
      </c>
      <c r="I5" s="2"/>
    </row>
    <row r="6" spans="1:9">
      <c r="A6" s="64"/>
      <c r="B6" s="69"/>
      <c r="C6" s="82"/>
      <c r="D6" s="2"/>
      <c r="E6" s="154" t="s">
        <v>195</v>
      </c>
      <c r="F6" s="153" t="s">
        <v>196</v>
      </c>
      <c r="G6" s="84"/>
      <c r="H6" s="85">
        <f>SUM(F4:F33)</f>
        <v>28750</v>
      </c>
      <c r="I6" s="2"/>
    </row>
    <row r="7" spans="1:9" ht="15">
      <c r="A7" s="64"/>
      <c r="B7" s="69"/>
      <c r="C7" s="82"/>
      <c r="D7" s="2"/>
      <c r="E7" s="69" t="s">
        <v>198</v>
      </c>
      <c r="F7" s="83">
        <v>1300</v>
      </c>
      <c r="G7" s="2"/>
      <c r="H7" s="66"/>
      <c r="I7" s="2"/>
    </row>
    <row r="8" spans="1:9" ht="15">
      <c r="A8" s="64"/>
      <c r="B8" s="69"/>
      <c r="C8" s="82"/>
      <c r="D8" s="2"/>
      <c r="E8" s="69" t="s">
        <v>199</v>
      </c>
      <c r="F8" s="83"/>
      <c r="G8" s="2"/>
      <c r="H8" s="65" t="s">
        <v>191</v>
      </c>
      <c r="I8" s="2"/>
    </row>
    <row r="9" spans="1:9" ht="18">
      <c r="A9" s="64"/>
      <c r="B9" s="69"/>
      <c r="C9" s="82"/>
      <c r="D9" s="2"/>
      <c r="E9" s="69" t="s">
        <v>200</v>
      </c>
      <c r="F9" s="83"/>
      <c r="G9" s="84"/>
      <c r="H9" s="86">
        <f>SUM(H3+H6*0.2)</f>
        <v>16410</v>
      </c>
      <c r="I9" s="2"/>
    </row>
    <row r="10" spans="1:9" ht="15">
      <c r="A10" s="64"/>
      <c r="B10" s="71"/>
      <c r="C10" s="87"/>
      <c r="D10" s="2"/>
      <c r="E10" s="155" t="s">
        <v>201</v>
      </c>
      <c r="F10" s="88"/>
      <c r="G10" s="2"/>
      <c r="H10" s="66"/>
      <c r="I10" s="2"/>
    </row>
    <row r="11" spans="1:9" ht="15">
      <c r="A11" s="64"/>
      <c r="B11" s="73"/>
      <c r="C11" s="89"/>
      <c r="D11" s="2"/>
      <c r="E11" s="202" t="s">
        <v>230</v>
      </c>
      <c r="F11" s="90"/>
      <c r="G11" s="2"/>
      <c r="H11" s="1"/>
      <c r="I11" s="2"/>
    </row>
    <row r="12" spans="1:9" ht="15">
      <c r="A12" s="64"/>
      <c r="B12" s="73"/>
      <c r="C12" s="89"/>
      <c r="D12" s="2"/>
      <c r="E12" s="202" t="s">
        <v>231</v>
      </c>
      <c r="F12" s="90"/>
      <c r="G12" s="2"/>
      <c r="H12" s="1"/>
      <c r="I12" s="2"/>
    </row>
    <row r="13" spans="1:9" ht="15">
      <c r="A13" s="64"/>
      <c r="B13" s="73"/>
      <c r="C13" s="89"/>
      <c r="D13" s="2"/>
      <c r="E13" s="203" t="s">
        <v>232</v>
      </c>
      <c r="F13" s="90"/>
      <c r="G13" s="2"/>
      <c r="H13" s="1"/>
      <c r="I13" s="2"/>
    </row>
    <row r="14" spans="1:9" ht="15">
      <c r="A14" s="64"/>
      <c r="B14" s="73"/>
      <c r="C14" s="89"/>
      <c r="D14" s="2"/>
      <c r="E14" s="202" t="s">
        <v>233</v>
      </c>
      <c r="F14" s="90"/>
      <c r="G14" s="2"/>
      <c r="H14" s="1"/>
      <c r="I14" s="2"/>
    </row>
    <row r="15" spans="1:9" ht="15">
      <c r="A15" s="64"/>
      <c r="B15" s="73"/>
      <c r="C15" s="89"/>
      <c r="D15" s="2"/>
      <c r="E15" s="202" t="s">
        <v>234</v>
      </c>
      <c r="F15" s="90">
        <v>600</v>
      </c>
      <c r="G15" s="2"/>
      <c r="H15" s="1"/>
      <c r="I15" s="2"/>
    </row>
    <row r="16" spans="1:9" ht="15">
      <c r="A16" s="64"/>
      <c r="B16" s="73"/>
      <c r="C16" s="89"/>
      <c r="D16" s="2"/>
      <c r="E16" s="202" t="s">
        <v>235</v>
      </c>
      <c r="F16" s="90">
        <v>700</v>
      </c>
      <c r="G16" s="2"/>
      <c r="H16" s="1"/>
      <c r="I16" s="2"/>
    </row>
    <row r="17" spans="1:9" ht="15">
      <c r="A17" s="64"/>
      <c r="B17" s="73"/>
      <c r="C17" s="89"/>
      <c r="D17" s="2"/>
      <c r="E17" s="202" t="s">
        <v>236</v>
      </c>
      <c r="F17" s="90">
        <v>500</v>
      </c>
      <c r="G17" s="2"/>
      <c r="H17" s="1"/>
      <c r="I17" s="2"/>
    </row>
    <row r="18" spans="1:9" ht="15">
      <c r="A18" s="64"/>
      <c r="B18" s="73"/>
      <c r="C18" s="89"/>
      <c r="D18" s="2"/>
      <c r="E18" s="73"/>
      <c r="F18" s="90"/>
      <c r="G18" s="2"/>
      <c r="H18" s="1"/>
      <c r="I18" s="2"/>
    </row>
    <row r="19" spans="1:9" ht="15">
      <c r="A19" s="64"/>
      <c r="B19" s="73"/>
      <c r="C19" s="89"/>
      <c r="D19" s="2"/>
      <c r="E19" s="73"/>
      <c r="F19" s="90"/>
      <c r="G19" s="2"/>
      <c r="H19" s="1"/>
      <c r="I19" s="2"/>
    </row>
    <row r="20" spans="1:9" ht="15">
      <c r="A20" s="64"/>
      <c r="B20" s="73"/>
      <c r="C20" s="89"/>
      <c r="D20" s="2"/>
      <c r="E20" s="73"/>
      <c r="F20" s="90"/>
      <c r="G20" s="2"/>
      <c r="H20" s="1"/>
      <c r="I20" s="2"/>
    </row>
    <row r="21" spans="1:9" ht="15">
      <c r="A21" s="64"/>
      <c r="B21" s="73"/>
      <c r="C21" s="89"/>
      <c r="D21" s="2"/>
      <c r="E21" s="73"/>
      <c r="F21" s="90"/>
      <c r="G21" s="2"/>
      <c r="H21" s="1"/>
      <c r="I21" s="2"/>
    </row>
    <row r="22" spans="1:9" ht="15">
      <c r="A22" s="64"/>
      <c r="B22" s="73"/>
      <c r="C22" s="89"/>
      <c r="D22" s="2"/>
      <c r="E22" s="73"/>
      <c r="F22" s="90"/>
      <c r="G22" s="2"/>
      <c r="H22" s="1"/>
      <c r="I22" s="2"/>
    </row>
    <row r="23" spans="1:9" ht="15">
      <c r="A23" s="64"/>
      <c r="B23" s="73"/>
      <c r="C23" s="89"/>
      <c r="D23" s="2"/>
      <c r="E23" s="73"/>
      <c r="F23" s="90"/>
      <c r="G23" s="2"/>
      <c r="H23" s="1"/>
      <c r="I23" s="2"/>
    </row>
    <row r="24" spans="1:9" ht="15">
      <c r="A24" s="64"/>
      <c r="B24" s="73"/>
      <c r="C24" s="89"/>
      <c r="D24" s="2"/>
      <c r="E24" s="73"/>
      <c r="F24" s="90"/>
      <c r="G24" s="2"/>
      <c r="H24" s="1"/>
      <c r="I24" s="2"/>
    </row>
    <row r="25" spans="1:9" ht="15">
      <c r="A25" s="64"/>
      <c r="B25" s="73"/>
      <c r="C25" s="89"/>
      <c r="D25" s="2"/>
      <c r="E25" s="73"/>
      <c r="F25" s="90"/>
      <c r="G25" s="2"/>
      <c r="H25" s="1"/>
      <c r="I25" s="2"/>
    </row>
    <row r="26" spans="1:9" ht="15">
      <c r="A26" s="64"/>
      <c r="B26" s="73"/>
      <c r="C26" s="89"/>
      <c r="D26" s="2"/>
      <c r="E26" s="73"/>
      <c r="F26" s="90"/>
      <c r="G26" s="2"/>
      <c r="H26" s="1"/>
      <c r="I26" s="2"/>
    </row>
    <row r="27" spans="1:9" ht="15">
      <c r="A27" s="64"/>
      <c r="B27" s="73"/>
      <c r="C27" s="89"/>
      <c r="D27" s="2"/>
      <c r="E27" s="73"/>
      <c r="F27" s="90"/>
      <c r="G27" s="2"/>
      <c r="H27" s="1"/>
      <c r="I27" s="2"/>
    </row>
    <row r="28" spans="1:9" ht="15">
      <c r="A28" s="64"/>
      <c r="B28" s="73"/>
      <c r="C28" s="89"/>
      <c r="D28" s="2"/>
      <c r="E28" s="73"/>
      <c r="F28" s="90"/>
      <c r="G28" s="2"/>
      <c r="H28" s="1"/>
      <c r="I28" s="2"/>
    </row>
    <row r="29" spans="1:9" ht="15">
      <c r="A29" s="64"/>
      <c r="B29" s="73"/>
      <c r="C29" s="89"/>
      <c r="D29" s="2"/>
      <c r="E29" s="73"/>
      <c r="F29" s="90"/>
      <c r="G29" s="2"/>
      <c r="H29" s="1"/>
      <c r="I29" s="2"/>
    </row>
    <row r="30" spans="1:9" ht="15">
      <c r="A30" s="64"/>
      <c r="B30" s="73"/>
      <c r="C30" s="89"/>
      <c r="D30" s="2"/>
      <c r="E30" s="73"/>
      <c r="F30" s="90"/>
      <c r="G30" s="2"/>
      <c r="H30" s="1"/>
      <c r="I30" s="2"/>
    </row>
    <row r="31" spans="1:9" ht="15">
      <c r="A31" s="64"/>
      <c r="B31" s="73"/>
      <c r="C31" s="89"/>
      <c r="D31" s="2"/>
      <c r="E31" s="73"/>
      <c r="F31" s="90"/>
      <c r="G31" s="2"/>
      <c r="H31" s="1"/>
      <c r="I31" s="2"/>
    </row>
    <row r="32" spans="1:9" ht="15">
      <c r="A32" s="64"/>
      <c r="B32" s="75"/>
      <c r="C32" s="91"/>
      <c r="D32" s="2"/>
      <c r="E32" s="75"/>
      <c r="F32" s="92"/>
      <c r="G32" s="2"/>
      <c r="H32" s="1"/>
      <c r="I32" s="2"/>
    </row>
    <row r="33" spans="1:9" ht="15">
      <c r="A33" s="1"/>
      <c r="B33" s="1"/>
      <c r="C33" s="1"/>
      <c r="D33" s="1"/>
      <c r="E33" s="1"/>
      <c r="F33" s="77"/>
      <c r="G33" s="1"/>
      <c r="H33" s="1"/>
      <c r="I33" s="1"/>
    </row>
  </sheetData>
  <phoneticPr fontId="5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BFF00B24CE7684688923CB81CE0340F" ma:contentTypeVersion="3" ma:contentTypeDescription="建立新的文件。" ma:contentTypeScope="" ma:versionID="c56ab26ce89f1fb4e6e1ff9064fd49fc">
  <xsd:schema xmlns:xsd="http://www.w3.org/2001/XMLSchema" xmlns:xs="http://www.w3.org/2001/XMLSchema" xmlns:p="http://schemas.microsoft.com/office/2006/metadata/properties" xmlns:ns2="a59876b9-87de-4833-afb0-fda3989bdc93" targetNamespace="http://schemas.microsoft.com/office/2006/metadata/properties" ma:root="true" ma:fieldsID="c2b9dee54c6a6924a18730f957fd38bb" ns2:_="">
    <xsd:import namespace="a59876b9-87de-4833-afb0-fda3989bdc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9876b9-87de-4833-afb0-fda3989bdc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3C4D2D-F9F2-42C1-86BC-B16299A1A7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04E690-2944-4F4C-9104-D9CC79229DCA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a59876b9-87de-4833-afb0-fda3989bdc93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32ED1F9-FDD1-4C52-8CFD-891D083B6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9876b9-87de-4833-afb0-fda3989bdc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affcf71-73e4-4c41-a94a-971bb0fa6c4e}" enabled="0" method="" siteId="{7affcf71-73e4-4c41-a94a-971bb0fa6c4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交通住宿</vt:lpstr>
      <vt:lpstr>1213</vt:lpstr>
      <vt:lpstr>18</vt:lpstr>
      <vt:lpstr>18 2.0 </vt:lpstr>
      <vt:lpstr>19</vt:lpstr>
      <vt:lpstr>110</vt:lpstr>
      <vt:lpstr>工作表10</vt:lpstr>
      <vt:lpstr>待買清單</vt:lpstr>
      <vt:lpstr>計算機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Hsinyu Hu (胡欣瑜)</dc:creator>
  <cp:lastModifiedBy>Hsinyu Hu (胡欣瑜)</cp:lastModifiedBy>
  <dcterms:created xsi:type="dcterms:W3CDTF">2026-06-26T07:01:50Z</dcterms:created>
  <dcterms:modified xsi:type="dcterms:W3CDTF">2026-06-26T09:20:17Z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0x0101006BFF00B24CE7684688923CB81CE0340F</vt:lpwstr>
  </property>
</Properties>
</file>